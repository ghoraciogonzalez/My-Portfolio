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Ex2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fileSharing userName="Horacio González" algorithmName="SHA-512" hashValue="hCrF/OXT8QLlTfu/1H3esliBZnyS1MUykywTzVXF9FNyA/h87iCjpjKV9D4sjxVepxGmN7o+owCFdrNwtn4Txw==" saltValue="s2OvAx0GfQrwRJ3IlqLFpg==" spinCount="10000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hora\OneDrive\Escritorio\"/>
    </mc:Choice>
  </mc:AlternateContent>
  <xr:revisionPtr revIDLastSave="0" documentId="13_ncr:10001_{90759A61-410D-45A9-AEF2-A9AD5A4835A6}" xr6:coauthVersionLast="47" xr6:coauthVersionMax="47" xr10:uidLastSave="{00000000-0000-0000-0000-000000000000}"/>
  <bookViews>
    <workbookView xWindow="28680" yWindow="-120" windowWidth="29040" windowHeight="15720" firstSheet="4" activeTab="4" xr2:uid="{8D1853F9-18E2-4F26-B76C-791D755C39EF}"/>
  </bookViews>
  <sheets>
    <sheet name="Datos" sheetId="1" state="hidden" r:id="rId1"/>
    <sheet name="Datos Distribucion" sheetId="6" state="hidden" r:id="rId2"/>
    <sheet name="Estadísticas" sheetId="7" state="hidden" r:id="rId3"/>
    <sheet name="Gráficos de Control" sheetId="4" state="hidden" r:id="rId4"/>
    <sheet name="Dashboard" sheetId="8" r:id="rId5"/>
  </sheets>
  <definedNames>
    <definedName name="_xlchart.v1.0" hidden="1">'Datos Distribucion'!$A$1:$A$50</definedName>
    <definedName name="_xlchart.v1.1" hidden="1">'Datos Distribucion'!$A$1:$A$50</definedName>
    <definedName name="_xleta.COUNTA" hidden="1" xlm="1">#NAME?</definedName>
    <definedName name="batch">OFFSET(Datos!$A$1,'Gráficos de Control'!$B$1,0,'Gráficos de Control'!$B$2,1)</definedName>
    <definedName name="cuantil_teorico">OFFSET('Datos Distribucion'!$Q$1,0,0,COUNT('Datos Distribucion'!$Q:$Q),1)</definedName>
    <definedName name="espesor">OFFSET(Datos!$B$1,'Gráficos de Control'!$B$1,0,'Gráficos de Control'!$B$2,1)</definedName>
    <definedName name="espesor2">OFFSET('Datos Distribucion'!$C$1,0,0,COUNT('Datos Distribucion'!$C:$C),1)</definedName>
    <definedName name="frecuencia">OFFSET('Datos Distribucion'!$D$1,0,0,COUNT('Datos Distribucion'!$C:$C),1)</definedName>
    <definedName name="LC_I">OFFSET(Datos!$D$1,'Gráficos de Control'!$B$1,0,'Gráficos de Control'!$B$2,1)</definedName>
    <definedName name="LC_R">OFFSET(Datos!$H$1,'Gráficos de Control'!$B$1,0,'Gráficos de Control'!$B$2,1)</definedName>
    <definedName name="LCI_I">OFFSET(Datos!$C$1,'Gráficos de Control'!$B$1,0,'Gráficos de Control'!$B$2,1)</definedName>
    <definedName name="LCI_R">OFFSET(Datos!$G$1,'Gráficos de Control'!$B$1,0,'Gráficos de Control'!$B$2,1)</definedName>
    <definedName name="LCS_I">OFFSET(Datos!$E$1,'Gráficos de Control'!$B$1,0,'Gráficos de Control'!$B$2,1)</definedName>
    <definedName name="LCS_R">OFFSET(Datos!$I$1,'Gráficos de Control'!$B$1,0,'Gráficos de Control'!$B$2,1)</definedName>
    <definedName name="LSE">OFFSET(Datos!$J$1,'Gráficos de Control'!$B$1,0,'Gráficos de Control'!$B$2,1)</definedName>
    <definedName name="percentiles">OFFSET('Datos Distribucion'!$P$1,0,0,COUNT('Datos Distribucion'!$P:$P),1)</definedName>
    <definedName name="rango_movil">OFFSET(Datos!$F$1,'Gráficos de Control'!$B$1,0,'Gráficos de Control'!$B$2,1)</definedName>
    <definedName name="rango_qq">OFFSET('Datos Distribucion'!$O$1,0,0,COUNT('Datos Distribucion'!$O:$O),1)</definedName>
    <definedName name="rm">OFFSET(Datos!$F$1,'Gráficos de Control'!$B$1,0,'Gráficos de Control'!$B$2,1)</definedName>
    <definedName name="v_i_lci">OFFSET('Datos Distribucion'!$H$1,'Gráficos de Control'!$B$1,0,'Gráficos de Control'!$B$2,1)</definedName>
    <definedName name="v_i_lcs">OFFSET('Datos Distribucion'!$I$1,'Gráficos de Control'!$B$1,0,'Gráficos de Control'!$B$2,1)</definedName>
    <definedName name="v_i_media">OFFSET('Datos Distribucion'!$F$1,'Gráficos de Control'!$B$1,0,'Gráficos de Control'!$B$2,1)</definedName>
    <definedName name="v_lci_r">OFFSET('Datos Distribucion'!$J$1,'Gráficos de Control'!$B$1,0,'Gráficos de Control'!$B$2,1)</definedName>
    <definedName name="v_lcs_r">OFFSET('Datos Distribucion'!$K$1,'Gráficos de Control'!$B$1,0,'Gráficos de Control'!$B$2,1)</definedName>
    <definedName name="v_rango_movil">OFFSET('Datos Distribucion'!$G$1,'Gráficos de Control'!$B$1,0,'Gráficos de Control'!$B$2,1)</definedName>
    <definedName name="valor_z">OFFSET('Datos Distribucion'!$R$1,0,0,COUNT('Datos Distribucion'!$R:$R),1)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6" l="1"/>
  <c r="G3" i="6"/>
  <c r="G4" i="6"/>
  <c r="G5" i="6"/>
  <c r="G6" i="6"/>
  <c r="G7" i="6"/>
  <c r="G8" i="6"/>
  <c r="G9" i="6"/>
  <c r="G10" i="6"/>
  <c r="G11" i="6"/>
  <c r="G12" i="6"/>
  <c r="G13" i="6"/>
  <c r="G14" i="6"/>
  <c r="J2" i="6" s="1"/>
  <c r="G15" i="6"/>
  <c r="G16" i="6"/>
  <c r="G17" i="6"/>
  <c r="G18" i="6"/>
  <c r="G19" i="6"/>
  <c r="G20" i="6"/>
  <c r="K2" i="6" s="1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1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" i="6"/>
  <c r="B2" i="7"/>
  <c r="F95" i="1"/>
  <c r="F94" i="1"/>
  <c r="D3" i="7" a="1"/>
  <c r="D3" i="7" s="1"/>
  <c r="E3" i="7" a="1"/>
  <c r="B8" i="7"/>
  <c r="F93" i="1"/>
  <c r="F92" i="1"/>
  <c r="F91" i="1"/>
  <c r="B7" i="7"/>
  <c r="B6" i="7"/>
  <c r="B5" i="7"/>
  <c r="B4" i="7"/>
  <c r="B3" i="7"/>
  <c r="H35" i="8" l="1"/>
  <c r="K194" i="6"/>
  <c r="K236" i="6"/>
  <c r="K74" i="6"/>
  <c r="K207" i="6"/>
  <c r="K204" i="6"/>
  <c r="K146" i="6"/>
  <c r="K134" i="6"/>
  <c r="K122" i="6"/>
  <c r="K62" i="6"/>
  <c r="K50" i="6"/>
  <c r="K206" i="6"/>
  <c r="K144" i="6"/>
  <c r="K72" i="6"/>
  <c r="K195" i="6"/>
  <c r="K132" i="6"/>
  <c r="K60" i="6"/>
  <c r="K231" i="6"/>
  <c r="K192" i="6"/>
  <c r="K120" i="6"/>
  <c r="K48" i="6"/>
  <c r="K230" i="6"/>
  <c r="K182" i="6"/>
  <c r="K110" i="6"/>
  <c r="K38" i="6"/>
  <c r="K228" i="6"/>
  <c r="K180" i="6"/>
  <c r="K108" i="6"/>
  <c r="K36" i="6"/>
  <c r="K224" i="6"/>
  <c r="K170" i="6"/>
  <c r="K98" i="6"/>
  <c r="K26" i="6"/>
  <c r="K219" i="6"/>
  <c r="K168" i="6"/>
  <c r="K96" i="6"/>
  <c r="K24" i="6"/>
  <c r="K218" i="6"/>
  <c r="K158" i="6"/>
  <c r="K86" i="6"/>
  <c r="K14" i="6"/>
  <c r="K216" i="6"/>
  <c r="K156" i="6"/>
  <c r="K84" i="6"/>
  <c r="K12" i="6"/>
  <c r="K229" i="6"/>
  <c r="K217" i="6"/>
  <c r="K205" i="6"/>
  <c r="K193" i="6"/>
  <c r="K181" i="6"/>
  <c r="K169" i="6"/>
  <c r="K157" i="6"/>
  <c r="K145" i="6"/>
  <c r="K133" i="6"/>
  <c r="K121" i="6"/>
  <c r="K109" i="6"/>
  <c r="K97" i="6"/>
  <c r="K85" i="6"/>
  <c r="K73" i="6"/>
  <c r="K61" i="6"/>
  <c r="K49" i="6"/>
  <c r="K37" i="6"/>
  <c r="K25" i="6"/>
  <c r="K13" i="6"/>
  <c r="K227" i="6"/>
  <c r="K215" i="6"/>
  <c r="K203" i="6"/>
  <c r="K191" i="6"/>
  <c r="K179" i="6"/>
  <c r="K167" i="6"/>
  <c r="K155" i="6"/>
  <c r="K143" i="6"/>
  <c r="K131" i="6"/>
  <c r="K119" i="6"/>
  <c r="K107" i="6"/>
  <c r="K95" i="6"/>
  <c r="K83" i="6"/>
  <c r="K71" i="6"/>
  <c r="K59" i="6"/>
  <c r="K47" i="6"/>
  <c r="K35" i="6"/>
  <c r="K23" i="6"/>
  <c r="K11" i="6"/>
  <c r="K226" i="6"/>
  <c r="K214" i="6"/>
  <c r="K202" i="6"/>
  <c r="K190" i="6"/>
  <c r="K178" i="6"/>
  <c r="K166" i="6"/>
  <c r="K154" i="6"/>
  <c r="K142" i="6"/>
  <c r="K130" i="6"/>
  <c r="K118" i="6"/>
  <c r="K106" i="6"/>
  <c r="K94" i="6"/>
  <c r="K82" i="6"/>
  <c r="K70" i="6"/>
  <c r="K58" i="6"/>
  <c r="K46" i="6"/>
  <c r="K34" i="6"/>
  <c r="K22" i="6"/>
  <c r="K10" i="6"/>
  <c r="K237" i="6"/>
  <c r="K225" i="6"/>
  <c r="K213" i="6"/>
  <c r="K201" i="6"/>
  <c r="K189" i="6"/>
  <c r="K177" i="6"/>
  <c r="K165" i="6"/>
  <c r="K153" i="6"/>
  <c r="K141" i="6"/>
  <c r="K129" i="6"/>
  <c r="K117" i="6"/>
  <c r="K105" i="6"/>
  <c r="K93" i="6"/>
  <c r="K81" i="6"/>
  <c r="K69" i="6"/>
  <c r="K57" i="6"/>
  <c r="K45" i="6"/>
  <c r="K33" i="6"/>
  <c r="K21" i="6"/>
  <c r="K9" i="6"/>
  <c r="K212" i="6"/>
  <c r="K200" i="6"/>
  <c r="K188" i="6"/>
  <c r="K176" i="6"/>
  <c r="K164" i="6"/>
  <c r="K152" i="6"/>
  <c r="K140" i="6"/>
  <c r="K128" i="6"/>
  <c r="K116" i="6"/>
  <c r="K104" i="6"/>
  <c r="K92" i="6"/>
  <c r="K80" i="6"/>
  <c r="K68" i="6"/>
  <c r="K56" i="6"/>
  <c r="K44" i="6"/>
  <c r="K32" i="6"/>
  <c r="K20" i="6"/>
  <c r="K8" i="6"/>
  <c r="K235" i="6"/>
  <c r="K223" i="6"/>
  <c r="K211" i="6"/>
  <c r="K199" i="6"/>
  <c r="K187" i="6"/>
  <c r="K175" i="6"/>
  <c r="K163" i="6"/>
  <c r="K151" i="6"/>
  <c r="K139" i="6"/>
  <c r="K127" i="6"/>
  <c r="K115" i="6"/>
  <c r="K103" i="6"/>
  <c r="K91" i="6"/>
  <c r="K79" i="6"/>
  <c r="K67" i="6"/>
  <c r="K55" i="6"/>
  <c r="K43" i="6"/>
  <c r="K31" i="6"/>
  <c r="K19" i="6"/>
  <c r="K7" i="6"/>
  <c r="K234" i="6"/>
  <c r="K222" i="6"/>
  <c r="K210" i="6"/>
  <c r="K198" i="6"/>
  <c r="K186" i="6"/>
  <c r="K174" i="6"/>
  <c r="K162" i="6"/>
  <c r="K150" i="6"/>
  <c r="K138" i="6"/>
  <c r="K126" i="6"/>
  <c r="K114" i="6"/>
  <c r="K102" i="6"/>
  <c r="K90" i="6"/>
  <c r="K78" i="6"/>
  <c r="K66" i="6"/>
  <c r="K54" i="6"/>
  <c r="K42" i="6"/>
  <c r="K30" i="6"/>
  <c r="K18" i="6"/>
  <c r="K6" i="6"/>
  <c r="K233" i="6"/>
  <c r="K221" i="6"/>
  <c r="K209" i="6"/>
  <c r="K197" i="6"/>
  <c r="K185" i="6"/>
  <c r="K173" i="6"/>
  <c r="K161" i="6"/>
  <c r="K149" i="6"/>
  <c r="K137" i="6"/>
  <c r="K125" i="6"/>
  <c r="K113" i="6"/>
  <c r="K101" i="6"/>
  <c r="K89" i="6"/>
  <c r="K77" i="6"/>
  <c r="K65" i="6"/>
  <c r="K53" i="6"/>
  <c r="K41" i="6"/>
  <c r="K29" i="6"/>
  <c r="K17" i="6"/>
  <c r="K5" i="6"/>
  <c r="K232" i="6"/>
  <c r="K220" i="6"/>
  <c r="K208" i="6"/>
  <c r="K196" i="6"/>
  <c r="K184" i="6"/>
  <c r="K172" i="6"/>
  <c r="K160" i="6"/>
  <c r="K148" i="6"/>
  <c r="K136" i="6"/>
  <c r="K124" i="6"/>
  <c r="K112" i="6"/>
  <c r="K100" i="6"/>
  <c r="K88" i="6"/>
  <c r="K76" i="6"/>
  <c r="K64" i="6"/>
  <c r="K52" i="6"/>
  <c r="K40" i="6"/>
  <c r="K28" i="6"/>
  <c r="K16" i="6"/>
  <c r="K4" i="6"/>
  <c r="K183" i="6"/>
  <c r="K171" i="6"/>
  <c r="K159" i="6"/>
  <c r="K147" i="6"/>
  <c r="K135" i="6"/>
  <c r="K123" i="6"/>
  <c r="K111" i="6"/>
  <c r="K99" i="6"/>
  <c r="K87" i="6"/>
  <c r="K75" i="6"/>
  <c r="K63" i="6"/>
  <c r="K51" i="6"/>
  <c r="K39" i="6"/>
  <c r="K27" i="6"/>
  <c r="K15" i="6"/>
  <c r="K3" i="6"/>
  <c r="J218" i="6"/>
  <c r="J206" i="6"/>
  <c r="J146" i="6"/>
  <c r="J134" i="6"/>
  <c r="J74" i="6"/>
  <c r="J62" i="6"/>
  <c r="J216" i="6"/>
  <c r="J144" i="6"/>
  <c r="J72" i="6"/>
  <c r="J204" i="6"/>
  <c r="J132" i="6"/>
  <c r="J60" i="6"/>
  <c r="J194" i="6"/>
  <c r="J122" i="6"/>
  <c r="J50" i="6"/>
  <c r="J192" i="6"/>
  <c r="J120" i="6"/>
  <c r="J48" i="6"/>
  <c r="J182" i="6"/>
  <c r="J110" i="6"/>
  <c r="J38" i="6"/>
  <c r="J180" i="6"/>
  <c r="J108" i="6"/>
  <c r="J36" i="6"/>
  <c r="J170" i="6"/>
  <c r="J98" i="6"/>
  <c r="J26" i="6"/>
  <c r="J168" i="6"/>
  <c r="J96" i="6"/>
  <c r="J24" i="6"/>
  <c r="J230" i="6"/>
  <c r="J158" i="6"/>
  <c r="J86" i="6"/>
  <c r="J14" i="6"/>
  <c r="J228" i="6"/>
  <c r="J156" i="6"/>
  <c r="J84" i="6"/>
  <c r="J12" i="6"/>
  <c r="J229" i="6"/>
  <c r="J217" i="6"/>
  <c r="J205" i="6"/>
  <c r="J193" i="6"/>
  <c r="J181" i="6"/>
  <c r="J169" i="6"/>
  <c r="J157" i="6"/>
  <c r="J145" i="6"/>
  <c r="J133" i="6"/>
  <c r="J121" i="6"/>
  <c r="J109" i="6"/>
  <c r="J97" i="6"/>
  <c r="J85" i="6"/>
  <c r="J73" i="6"/>
  <c r="J61" i="6"/>
  <c r="J49" i="6"/>
  <c r="J37" i="6"/>
  <c r="J25" i="6"/>
  <c r="J13" i="6"/>
  <c r="J227" i="6"/>
  <c r="J215" i="6"/>
  <c r="J203" i="6"/>
  <c r="J191" i="6"/>
  <c r="J179" i="6"/>
  <c r="J167" i="6"/>
  <c r="J155" i="6"/>
  <c r="J143" i="6"/>
  <c r="J131" i="6"/>
  <c r="J119" i="6"/>
  <c r="J107" i="6"/>
  <c r="J95" i="6"/>
  <c r="J83" i="6"/>
  <c r="J71" i="6"/>
  <c r="J59" i="6"/>
  <c r="J47" i="6"/>
  <c r="J35" i="6"/>
  <c r="J23" i="6"/>
  <c r="J11" i="6"/>
  <c r="J226" i="6"/>
  <c r="J214" i="6"/>
  <c r="J202" i="6"/>
  <c r="J190" i="6"/>
  <c r="J178" i="6"/>
  <c r="J166" i="6"/>
  <c r="J154" i="6"/>
  <c r="J142" i="6"/>
  <c r="J130" i="6"/>
  <c r="J118" i="6"/>
  <c r="J106" i="6"/>
  <c r="J94" i="6"/>
  <c r="J82" i="6"/>
  <c r="J70" i="6"/>
  <c r="J58" i="6"/>
  <c r="J46" i="6"/>
  <c r="J34" i="6"/>
  <c r="J22" i="6"/>
  <c r="J10" i="6"/>
  <c r="J237" i="6"/>
  <c r="J225" i="6"/>
  <c r="J213" i="6"/>
  <c r="J201" i="6"/>
  <c r="J189" i="6"/>
  <c r="J177" i="6"/>
  <c r="J165" i="6"/>
  <c r="J153" i="6"/>
  <c r="J141" i="6"/>
  <c r="J129" i="6"/>
  <c r="J117" i="6"/>
  <c r="J105" i="6"/>
  <c r="J93" i="6"/>
  <c r="J81" i="6"/>
  <c r="J69" i="6"/>
  <c r="J57" i="6"/>
  <c r="J45" i="6"/>
  <c r="J33" i="6"/>
  <c r="J21" i="6"/>
  <c r="J9" i="6"/>
  <c r="J236" i="6"/>
  <c r="J224" i="6"/>
  <c r="J212" i="6"/>
  <c r="J200" i="6"/>
  <c r="J188" i="6"/>
  <c r="J176" i="6"/>
  <c r="J164" i="6"/>
  <c r="J152" i="6"/>
  <c r="J140" i="6"/>
  <c r="J128" i="6"/>
  <c r="J116" i="6"/>
  <c r="J104" i="6"/>
  <c r="J92" i="6"/>
  <c r="J80" i="6"/>
  <c r="J68" i="6"/>
  <c r="J56" i="6"/>
  <c r="J44" i="6"/>
  <c r="J32" i="6"/>
  <c r="J20" i="6"/>
  <c r="J8" i="6"/>
  <c r="J235" i="6"/>
  <c r="J223" i="6"/>
  <c r="J211" i="6"/>
  <c r="J199" i="6"/>
  <c r="J187" i="6"/>
  <c r="J175" i="6"/>
  <c r="J163" i="6"/>
  <c r="J151" i="6"/>
  <c r="J139" i="6"/>
  <c r="J127" i="6"/>
  <c r="J115" i="6"/>
  <c r="J103" i="6"/>
  <c r="J91" i="6"/>
  <c r="J79" i="6"/>
  <c r="J67" i="6"/>
  <c r="J55" i="6"/>
  <c r="J43" i="6"/>
  <c r="J31" i="6"/>
  <c r="J19" i="6"/>
  <c r="J7" i="6"/>
  <c r="J234" i="6"/>
  <c r="J222" i="6"/>
  <c r="J210" i="6"/>
  <c r="J198" i="6"/>
  <c r="J186" i="6"/>
  <c r="J174" i="6"/>
  <c r="J162" i="6"/>
  <c r="J150" i="6"/>
  <c r="J138" i="6"/>
  <c r="J126" i="6"/>
  <c r="J114" i="6"/>
  <c r="J102" i="6"/>
  <c r="J90" i="6"/>
  <c r="J78" i="6"/>
  <c r="J66" i="6"/>
  <c r="J54" i="6"/>
  <c r="J42" i="6"/>
  <c r="J30" i="6"/>
  <c r="J18" i="6"/>
  <c r="J6" i="6"/>
  <c r="J233" i="6"/>
  <c r="J221" i="6"/>
  <c r="J209" i="6"/>
  <c r="J197" i="6"/>
  <c r="J185" i="6"/>
  <c r="J173" i="6"/>
  <c r="J161" i="6"/>
  <c r="J149" i="6"/>
  <c r="J137" i="6"/>
  <c r="J125" i="6"/>
  <c r="J113" i="6"/>
  <c r="J101" i="6"/>
  <c r="J89" i="6"/>
  <c r="J77" i="6"/>
  <c r="J65" i="6"/>
  <c r="J53" i="6"/>
  <c r="J41" i="6"/>
  <c r="J29" i="6"/>
  <c r="J17" i="6"/>
  <c r="J5" i="6"/>
  <c r="J232" i="6"/>
  <c r="J220" i="6"/>
  <c r="J208" i="6"/>
  <c r="J196" i="6"/>
  <c r="J184" i="6"/>
  <c r="J172" i="6"/>
  <c r="J160" i="6"/>
  <c r="J148" i="6"/>
  <c r="J136" i="6"/>
  <c r="J124" i="6"/>
  <c r="J112" i="6"/>
  <c r="J100" i="6"/>
  <c r="J88" i="6"/>
  <c r="J76" i="6"/>
  <c r="J64" i="6"/>
  <c r="J52" i="6"/>
  <c r="J40" i="6"/>
  <c r="J28" i="6"/>
  <c r="J16" i="6"/>
  <c r="J4" i="6"/>
  <c r="J231" i="6"/>
  <c r="J219" i="6"/>
  <c r="J207" i="6"/>
  <c r="J195" i="6"/>
  <c r="J183" i="6"/>
  <c r="J171" i="6"/>
  <c r="J159" i="6"/>
  <c r="J147" i="6"/>
  <c r="J135" i="6"/>
  <c r="J123" i="6"/>
  <c r="J111" i="6"/>
  <c r="J99" i="6"/>
  <c r="J87" i="6"/>
  <c r="J75" i="6"/>
  <c r="J63" i="6"/>
  <c r="J51" i="6"/>
  <c r="J39" i="6"/>
  <c r="J27" i="6"/>
  <c r="J15" i="6"/>
  <c r="J3" i="6"/>
  <c r="I2" i="6"/>
  <c r="I146" i="6"/>
  <c r="I134" i="6"/>
  <c r="I122" i="6"/>
  <c r="I110" i="6"/>
  <c r="I98" i="6"/>
  <c r="I230" i="6"/>
  <c r="I86" i="6"/>
  <c r="I218" i="6"/>
  <c r="I74" i="6"/>
  <c r="I206" i="6"/>
  <c r="I62" i="6"/>
  <c r="I194" i="6"/>
  <c r="I50" i="6"/>
  <c r="I182" i="6"/>
  <c r="I38" i="6"/>
  <c r="I170" i="6"/>
  <c r="I26" i="6"/>
  <c r="I158" i="6"/>
  <c r="I14" i="6"/>
  <c r="I229" i="6"/>
  <c r="I217" i="6"/>
  <c r="I205" i="6"/>
  <c r="I193" i="6"/>
  <c r="I181" i="6"/>
  <c r="I169" i="6"/>
  <c r="I157" i="6"/>
  <c r="I145" i="6"/>
  <c r="I133" i="6"/>
  <c r="I121" i="6"/>
  <c r="I109" i="6"/>
  <c r="I97" i="6"/>
  <c r="I85" i="6"/>
  <c r="I73" i="6"/>
  <c r="I61" i="6"/>
  <c r="I49" i="6"/>
  <c r="I37" i="6"/>
  <c r="I25" i="6"/>
  <c r="I13" i="6"/>
  <c r="I228" i="6"/>
  <c r="I216" i="6"/>
  <c r="I204" i="6"/>
  <c r="I192" i="6"/>
  <c r="I180" i="6"/>
  <c r="I168" i="6"/>
  <c r="I156" i="6"/>
  <c r="I144" i="6"/>
  <c r="I132" i="6"/>
  <c r="I120" i="6"/>
  <c r="I108" i="6"/>
  <c r="I96" i="6"/>
  <c r="I84" i="6"/>
  <c r="I72" i="6"/>
  <c r="I60" i="6"/>
  <c r="I48" i="6"/>
  <c r="I36" i="6"/>
  <c r="I24" i="6"/>
  <c r="I12" i="6"/>
  <c r="I227" i="6"/>
  <c r="I215" i="6"/>
  <c r="I203" i="6"/>
  <c r="I191" i="6"/>
  <c r="I179" i="6"/>
  <c r="I167" i="6"/>
  <c r="I155" i="6"/>
  <c r="I143" i="6"/>
  <c r="I131" i="6"/>
  <c r="I119" i="6"/>
  <c r="I107" i="6"/>
  <c r="I95" i="6"/>
  <c r="I83" i="6"/>
  <c r="I71" i="6"/>
  <c r="I59" i="6"/>
  <c r="I47" i="6"/>
  <c r="I35" i="6"/>
  <c r="I23" i="6"/>
  <c r="I11" i="6"/>
  <c r="I226" i="6"/>
  <c r="I214" i="6"/>
  <c r="I202" i="6"/>
  <c r="I190" i="6"/>
  <c r="I178" i="6"/>
  <c r="I166" i="6"/>
  <c r="I154" i="6"/>
  <c r="I142" i="6"/>
  <c r="I130" i="6"/>
  <c r="I118" i="6"/>
  <c r="I106" i="6"/>
  <c r="I94" i="6"/>
  <c r="I82" i="6"/>
  <c r="I70" i="6"/>
  <c r="I58" i="6"/>
  <c r="I46" i="6"/>
  <c r="I34" i="6"/>
  <c r="I22" i="6"/>
  <c r="I10" i="6"/>
  <c r="I237" i="6"/>
  <c r="I225" i="6"/>
  <c r="I213" i="6"/>
  <c r="I201" i="6"/>
  <c r="I189" i="6"/>
  <c r="I177" i="6"/>
  <c r="I165" i="6"/>
  <c r="I153" i="6"/>
  <c r="I141" i="6"/>
  <c r="I129" i="6"/>
  <c r="I117" i="6"/>
  <c r="I105" i="6"/>
  <c r="I93" i="6"/>
  <c r="I81" i="6"/>
  <c r="I69" i="6"/>
  <c r="I57" i="6"/>
  <c r="I45" i="6"/>
  <c r="I33" i="6"/>
  <c r="I21" i="6"/>
  <c r="I9" i="6"/>
  <c r="I236" i="6"/>
  <c r="I224" i="6"/>
  <c r="I212" i="6"/>
  <c r="I200" i="6"/>
  <c r="I188" i="6"/>
  <c r="I176" i="6"/>
  <c r="I164" i="6"/>
  <c r="I152" i="6"/>
  <c r="I140" i="6"/>
  <c r="I128" i="6"/>
  <c r="I116" i="6"/>
  <c r="I104" i="6"/>
  <c r="I92" i="6"/>
  <c r="I80" i="6"/>
  <c r="I68" i="6"/>
  <c r="I56" i="6"/>
  <c r="I44" i="6"/>
  <c r="I32" i="6"/>
  <c r="I20" i="6"/>
  <c r="I8" i="6"/>
  <c r="I235" i="6"/>
  <c r="I223" i="6"/>
  <c r="I211" i="6"/>
  <c r="I199" i="6"/>
  <c r="I187" i="6"/>
  <c r="I175" i="6"/>
  <c r="I163" i="6"/>
  <c r="I151" i="6"/>
  <c r="I139" i="6"/>
  <c r="I127" i="6"/>
  <c r="I115" i="6"/>
  <c r="I103" i="6"/>
  <c r="I91" i="6"/>
  <c r="I79" i="6"/>
  <c r="I67" i="6"/>
  <c r="I55" i="6"/>
  <c r="I43" i="6"/>
  <c r="I31" i="6"/>
  <c r="I19" i="6"/>
  <c r="I7" i="6"/>
  <c r="I234" i="6"/>
  <c r="I222" i="6"/>
  <c r="I210" i="6"/>
  <c r="I198" i="6"/>
  <c r="I186" i="6"/>
  <c r="I174" i="6"/>
  <c r="I162" i="6"/>
  <c r="I150" i="6"/>
  <c r="I138" i="6"/>
  <c r="I126" i="6"/>
  <c r="I114" i="6"/>
  <c r="I102" i="6"/>
  <c r="I90" i="6"/>
  <c r="I78" i="6"/>
  <c r="I66" i="6"/>
  <c r="I54" i="6"/>
  <c r="I42" i="6"/>
  <c r="I30" i="6"/>
  <c r="I18" i="6"/>
  <c r="I6" i="6"/>
  <c r="I233" i="6"/>
  <c r="I221" i="6"/>
  <c r="I209" i="6"/>
  <c r="I197" i="6"/>
  <c r="I185" i="6"/>
  <c r="I173" i="6"/>
  <c r="I161" i="6"/>
  <c r="I149" i="6"/>
  <c r="I137" i="6"/>
  <c r="I125" i="6"/>
  <c r="I113" i="6"/>
  <c r="I101" i="6"/>
  <c r="I89" i="6"/>
  <c r="I77" i="6"/>
  <c r="I65" i="6"/>
  <c r="I53" i="6"/>
  <c r="I41" i="6"/>
  <c r="I29" i="6"/>
  <c r="I17" i="6"/>
  <c r="I5" i="6"/>
  <c r="I232" i="6"/>
  <c r="I220" i="6"/>
  <c r="I208" i="6"/>
  <c r="I196" i="6"/>
  <c r="I184" i="6"/>
  <c r="I172" i="6"/>
  <c r="I160" i="6"/>
  <c r="I148" i="6"/>
  <c r="I136" i="6"/>
  <c r="I124" i="6"/>
  <c r="I112" i="6"/>
  <c r="I100" i="6"/>
  <c r="I88" i="6"/>
  <c r="I76" i="6"/>
  <c r="I64" i="6"/>
  <c r="I52" i="6"/>
  <c r="I40" i="6"/>
  <c r="I28" i="6"/>
  <c r="I16" i="6"/>
  <c r="I4" i="6"/>
  <c r="I231" i="6"/>
  <c r="I219" i="6"/>
  <c r="I207" i="6"/>
  <c r="I195" i="6"/>
  <c r="I183" i="6"/>
  <c r="I171" i="6"/>
  <c r="I159" i="6"/>
  <c r="I147" i="6"/>
  <c r="I135" i="6"/>
  <c r="I123" i="6"/>
  <c r="I111" i="6"/>
  <c r="I99" i="6"/>
  <c r="I87" i="6"/>
  <c r="I75" i="6"/>
  <c r="I63" i="6"/>
  <c r="I51" i="6"/>
  <c r="I39" i="6"/>
  <c r="I27" i="6"/>
  <c r="I15" i="6"/>
  <c r="I3" i="6"/>
  <c r="H3" i="6"/>
  <c r="H203" i="6"/>
  <c r="H134" i="6"/>
  <c r="H62" i="6"/>
  <c r="H207" i="6"/>
  <c r="H146" i="6"/>
  <c r="H74" i="6"/>
  <c r="H206" i="6"/>
  <c r="H143" i="6"/>
  <c r="H71" i="6"/>
  <c r="H195" i="6"/>
  <c r="H131" i="6"/>
  <c r="H59" i="6"/>
  <c r="H194" i="6"/>
  <c r="H122" i="6"/>
  <c r="H50" i="6"/>
  <c r="H191" i="6"/>
  <c r="H119" i="6"/>
  <c r="H47" i="6"/>
  <c r="H231" i="6"/>
  <c r="H182" i="6"/>
  <c r="H110" i="6"/>
  <c r="H38" i="6"/>
  <c r="H230" i="6"/>
  <c r="H179" i="6"/>
  <c r="H107" i="6"/>
  <c r="H35" i="6"/>
  <c r="H227" i="6"/>
  <c r="H170" i="6"/>
  <c r="H98" i="6"/>
  <c r="H26" i="6"/>
  <c r="H219" i="6"/>
  <c r="H167" i="6"/>
  <c r="H95" i="6"/>
  <c r="H23" i="6"/>
  <c r="H218" i="6"/>
  <c r="H158" i="6"/>
  <c r="H86" i="6"/>
  <c r="H14" i="6"/>
  <c r="H215" i="6"/>
  <c r="H155" i="6"/>
  <c r="H83" i="6"/>
  <c r="H11" i="6"/>
  <c r="H229" i="6"/>
  <c r="H217" i="6"/>
  <c r="H205" i="6"/>
  <c r="H193" i="6"/>
  <c r="H181" i="6"/>
  <c r="H169" i="6"/>
  <c r="H157" i="6"/>
  <c r="H145" i="6"/>
  <c r="H133" i="6"/>
  <c r="H121" i="6"/>
  <c r="H109" i="6"/>
  <c r="H97" i="6"/>
  <c r="H85" i="6"/>
  <c r="H73" i="6"/>
  <c r="H61" i="6"/>
  <c r="H49" i="6"/>
  <c r="H37" i="6"/>
  <c r="H25" i="6"/>
  <c r="H13" i="6"/>
  <c r="H228" i="6"/>
  <c r="H216" i="6"/>
  <c r="H204" i="6"/>
  <c r="H192" i="6"/>
  <c r="H180" i="6"/>
  <c r="H168" i="6"/>
  <c r="H156" i="6"/>
  <c r="H144" i="6"/>
  <c r="H132" i="6"/>
  <c r="H120" i="6"/>
  <c r="H108" i="6"/>
  <c r="H96" i="6"/>
  <c r="H84" i="6"/>
  <c r="H72" i="6"/>
  <c r="H60" i="6"/>
  <c r="H48" i="6"/>
  <c r="H36" i="6"/>
  <c r="H24" i="6"/>
  <c r="H12" i="6"/>
  <c r="H226" i="6"/>
  <c r="H214" i="6"/>
  <c r="H202" i="6"/>
  <c r="H190" i="6"/>
  <c r="H178" i="6"/>
  <c r="H166" i="6"/>
  <c r="H154" i="6"/>
  <c r="H142" i="6"/>
  <c r="H130" i="6"/>
  <c r="H118" i="6"/>
  <c r="H106" i="6"/>
  <c r="H94" i="6"/>
  <c r="H82" i="6"/>
  <c r="H70" i="6"/>
  <c r="H58" i="6"/>
  <c r="H46" i="6"/>
  <c r="H34" i="6"/>
  <c r="H22" i="6"/>
  <c r="H10" i="6"/>
  <c r="H237" i="6"/>
  <c r="H225" i="6"/>
  <c r="H213" i="6"/>
  <c r="H201" i="6"/>
  <c r="H189" i="6"/>
  <c r="H177" i="6"/>
  <c r="H165" i="6"/>
  <c r="H153" i="6"/>
  <c r="H141" i="6"/>
  <c r="H129" i="6"/>
  <c r="H117" i="6"/>
  <c r="H105" i="6"/>
  <c r="H93" i="6"/>
  <c r="H81" i="6"/>
  <c r="H69" i="6"/>
  <c r="H57" i="6"/>
  <c r="H45" i="6"/>
  <c r="H33" i="6"/>
  <c r="H21" i="6"/>
  <c r="H9" i="6"/>
  <c r="H236" i="6"/>
  <c r="H224" i="6"/>
  <c r="H212" i="6"/>
  <c r="H200" i="6"/>
  <c r="H188" i="6"/>
  <c r="H176" i="6"/>
  <c r="H164" i="6"/>
  <c r="H152" i="6"/>
  <c r="H140" i="6"/>
  <c r="H128" i="6"/>
  <c r="H116" i="6"/>
  <c r="H104" i="6"/>
  <c r="H92" i="6"/>
  <c r="H80" i="6"/>
  <c r="H68" i="6"/>
  <c r="H56" i="6"/>
  <c r="H44" i="6"/>
  <c r="H32" i="6"/>
  <c r="H20" i="6"/>
  <c r="H8" i="6"/>
  <c r="H235" i="6"/>
  <c r="H223" i="6"/>
  <c r="H211" i="6"/>
  <c r="H199" i="6"/>
  <c r="H187" i="6"/>
  <c r="H175" i="6"/>
  <c r="H163" i="6"/>
  <c r="H151" i="6"/>
  <c r="H139" i="6"/>
  <c r="H127" i="6"/>
  <c r="H115" i="6"/>
  <c r="H103" i="6"/>
  <c r="H91" i="6"/>
  <c r="H79" i="6"/>
  <c r="H67" i="6"/>
  <c r="H55" i="6"/>
  <c r="H43" i="6"/>
  <c r="H31" i="6"/>
  <c r="H19" i="6"/>
  <c r="H7" i="6"/>
  <c r="H234" i="6"/>
  <c r="H222" i="6"/>
  <c r="H210" i="6"/>
  <c r="H198" i="6"/>
  <c r="H186" i="6"/>
  <c r="H174" i="6"/>
  <c r="H162" i="6"/>
  <c r="H150" i="6"/>
  <c r="H138" i="6"/>
  <c r="H126" i="6"/>
  <c r="H114" i="6"/>
  <c r="H102" i="6"/>
  <c r="H90" i="6"/>
  <c r="H78" i="6"/>
  <c r="H66" i="6"/>
  <c r="H54" i="6"/>
  <c r="H42" i="6"/>
  <c r="H30" i="6"/>
  <c r="H18" i="6"/>
  <c r="H6" i="6"/>
  <c r="H233" i="6"/>
  <c r="H221" i="6"/>
  <c r="H209" i="6"/>
  <c r="H197" i="6"/>
  <c r="H185" i="6"/>
  <c r="H173" i="6"/>
  <c r="H161" i="6"/>
  <c r="H149" i="6"/>
  <c r="H137" i="6"/>
  <c r="H125" i="6"/>
  <c r="H113" i="6"/>
  <c r="H101" i="6"/>
  <c r="H89" i="6"/>
  <c r="H77" i="6"/>
  <c r="H65" i="6"/>
  <c r="H53" i="6"/>
  <c r="H41" i="6"/>
  <c r="H29" i="6"/>
  <c r="H17" i="6"/>
  <c r="H5" i="6"/>
  <c r="H232" i="6"/>
  <c r="H220" i="6"/>
  <c r="H208" i="6"/>
  <c r="H196" i="6"/>
  <c r="H184" i="6"/>
  <c r="H172" i="6"/>
  <c r="H160" i="6"/>
  <c r="H148" i="6"/>
  <c r="H136" i="6"/>
  <c r="H124" i="6"/>
  <c r="H112" i="6"/>
  <c r="H100" i="6"/>
  <c r="H88" i="6"/>
  <c r="H76" i="6"/>
  <c r="H64" i="6"/>
  <c r="H52" i="6"/>
  <c r="H40" i="6"/>
  <c r="H28" i="6"/>
  <c r="H16" i="6"/>
  <c r="H4" i="6"/>
  <c r="H183" i="6"/>
  <c r="H171" i="6"/>
  <c r="H159" i="6"/>
  <c r="H147" i="6"/>
  <c r="H135" i="6"/>
  <c r="H123" i="6"/>
  <c r="H111" i="6"/>
  <c r="H99" i="6"/>
  <c r="H87" i="6"/>
  <c r="H75" i="6"/>
  <c r="H63" i="6"/>
  <c r="H51" i="6"/>
  <c r="H39" i="6"/>
  <c r="H27" i="6"/>
  <c r="H15" i="6"/>
  <c r="H2" i="6"/>
  <c r="J40" i="4"/>
  <c r="F54" i="7"/>
  <c r="G54" i="7" s="1"/>
  <c r="H54" i="7" s="1"/>
  <c r="F51" i="7"/>
  <c r="G51" i="7" s="1"/>
  <c r="F48" i="7"/>
  <c r="G48" i="7" s="1"/>
  <c r="F25" i="7"/>
  <c r="G25" i="7" s="1"/>
  <c r="H25" i="7" s="1"/>
  <c r="F23" i="7"/>
  <c r="G23" i="7" s="1"/>
  <c r="H23" i="7" s="1"/>
  <c r="F73" i="7"/>
  <c r="G73" i="7" s="1"/>
  <c r="H73" i="7" s="1"/>
  <c r="F70" i="7"/>
  <c r="G70" i="7" s="1"/>
  <c r="F67" i="7"/>
  <c r="G67" i="7" s="1"/>
  <c r="F92" i="7"/>
  <c r="G92" i="7" s="1"/>
  <c r="H92" i="7" s="1"/>
  <c r="F89" i="7"/>
  <c r="G89" i="7" s="1"/>
  <c r="F47" i="7"/>
  <c r="G47" i="7" s="1"/>
  <c r="F44" i="7"/>
  <c r="G44" i="7" s="1"/>
  <c r="H44" i="7" s="1"/>
  <c r="F41" i="7"/>
  <c r="G41" i="7" s="1"/>
  <c r="F66" i="7"/>
  <c r="G66" i="7" s="1"/>
  <c r="H66" i="7" s="1"/>
  <c r="F63" i="7"/>
  <c r="G63" i="7" s="1"/>
  <c r="F60" i="7"/>
  <c r="G60" i="7" s="1"/>
  <c r="F10" i="7"/>
  <c r="G10" i="7" s="1"/>
  <c r="F6" i="7"/>
  <c r="G6" i="7" s="1"/>
  <c r="H6" i="7" s="1"/>
  <c r="F82" i="7"/>
  <c r="G82" i="7" s="1"/>
  <c r="F34" i="7"/>
  <c r="G34" i="7" s="1"/>
  <c r="F59" i="7"/>
  <c r="G59" i="7" s="1"/>
  <c r="F56" i="7"/>
  <c r="G56" i="7" s="1"/>
  <c r="H56" i="7" s="1"/>
  <c r="F53" i="7"/>
  <c r="G53" i="7" s="1"/>
  <c r="F24" i="7"/>
  <c r="G24" i="7" s="1"/>
  <c r="F20" i="7"/>
  <c r="G20" i="7" s="1"/>
  <c r="H20" i="7" s="1"/>
  <c r="F94" i="7"/>
  <c r="G94" i="7" s="1"/>
  <c r="F78" i="7"/>
  <c r="G78" i="7" s="1"/>
  <c r="H78" i="7" s="1"/>
  <c r="F75" i="7"/>
  <c r="G75" i="7" s="1"/>
  <c r="F72" i="7"/>
  <c r="G72" i="7" s="1"/>
  <c r="F30" i="7"/>
  <c r="G30" i="7" s="1"/>
  <c r="H30" i="7" s="1"/>
  <c r="F27" i="7"/>
  <c r="G27" i="7" s="1"/>
  <c r="E3" i="7"/>
  <c r="F3" i="7" s="1"/>
  <c r="G3" i="7" s="1"/>
  <c r="F4" i="7"/>
  <c r="G4" i="7" s="1"/>
  <c r="F16" i="7"/>
  <c r="G16" i="7" s="1"/>
  <c r="F28" i="7"/>
  <c r="G28" i="7" s="1"/>
  <c r="F40" i="7"/>
  <c r="G40" i="7" s="1"/>
  <c r="F52" i="7"/>
  <c r="G52" i="7" s="1"/>
  <c r="F64" i="7"/>
  <c r="G64" i="7" s="1"/>
  <c r="F76" i="7"/>
  <c r="G76" i="7" s="1"/>
  <c r="F88" i="7"/>
  <c r="G88" i="7" s="1"/>
  <c r="F9" i="7"/>
  <c r="G9" i="7" s="1"/>
  <c r="F21" i="7"/>
  <c r="G21" i="7" s="1"/>
  <c r="F33" i="7"/>
  <c r="G33" i="7" s="1"/>
  <c r="F45" i="7"/>
  <c r="G45" i="7" s="1"/>
  <c r="F57" i="7"/>
  <c r="G57" i="7" s="1"/>
  <c r="F69" i="7"/>
  <c r="G69" i="7" s="1"/>
  <c r="F81" i="7"/>
  <c r="G81" i="7" s="1"/>
  <c r="F93" i="7"/>
  <c r="G93" i="7" s="1"/>
  <c r="F14" i="7"/>
  <c r="G14" i="7" s="1"/>
  <c r="F26" i="7"/>
  <c r="G26" i="7" s="1"/>
  <c r="F38" i="7"/>
  <c r="G38" i="7" s="1"/>
  <c r="F50" i="7"/>
  <c r="G50" i="7" s="1"/>
  <c r="F62" i="7"/>
  <c r="G62" i="7" s="1"/>
  <c r="F74" i="7"/>
  <c r="G74" i="7" s="1"/>
  <c r="F86" i="7"/>
  <c r="G86" i="7" s="1"/>
  <c r="F7" i="7"/>
  <c r="G7" i="7" s="1"/>
  <c r="F19" i="7"/>
  <c r="G19" i="7" s="1"/>
  <c r="F91" i="7"/>
  <c r="G91" i="7" s="1"/>
  <c r="F49" i="7"/>
  <c r="G49" i="7" s="1"/>
  <c r="H49" i="7" s="1"/>
  <c r="F46" i="7"/>
  <c r="G46" i="7" s="1"/>
  <c r="F43" i="7"/>
  <c r="G43" i="7" s="1"/>
  <c r="F85" i="7"/>
  <c r="G85" i="7" s="1"/>
  <c r="H85" i="7" s="1"/>
  <c r="F79" i="7"/>
  <c r="G79" i="7" s="1"/>
  <c r="F37" i="7"/>
  <c r="G37" i="7" s="1"/>
  <c r="H37" i="7" s="1"/>
  <c r="F31" i="7"/>
  <c r="G31" i="7" s="1"/>
  <c r="F17" i="7"/>
  <c r="G17" i="7" s="1"/>
  <c r="F13" i="7"/>
  <c r="G13" i="7" s="1"/>
  <c r="H13" i="7" s="1"/>
  <c r="F71" i="7"/>
  <c r="G71" i="7" s="1"/>
  <c r="F68" i="7"/>
  <c r="G68" i="7" s="1"/>
  <c r="H68" i="7" s="1"/>
  <c r="F65" i="7"/>
  <c r="G65" i="7" s="1"/>
  <c r="F5" i="7"/>
  <c r="G5" i="7" s="1"/>
  <c r="F84" i="7"/>
  <c r="G84" i="7" s="1"/>
  <c r="F42" i="7"/>
  <c r="G42" i="7" s="1"/>
  <c r="H42" i="7" s="1"/>
  <c r="F39" i="7"/>
  <c r="G39" i="7" s="1"/>
  <c r="F36" i="7"/>
  <c r="G36" i="7" s="1"/>
  <c r="F12" i="7"/>
  <c r="G12" i="7" s="1"/>
  <c r="F8" i="7"/>
  <c r="G8" i="7" s="1"/>
  <c r="H8" i="7" s="1"/>
  <c r="F90" i="7"/>
  <c r="G90" i="7" s="1"/>
  <c r="H90" i="7" s="1"/>
  <c r="F87" i="7"/>
  <c r="G87" i="7" s="1"/>
  <c r="F61" i="7"/>
  <c r="G61" i="7" s="1"/>
  <c r="H61" i="7" s="1"/>
  <c r="F58" i="7"/>
  <c r="G58" i="7" s="1"/>
  <c r="F55" i="7"/>
  <c r="G55" i="7" s="1"/>
  <c r="F15" i="7"/>
  <c r="G15" i="7" s="1"/>
  <c r="F11" i="7"/>
  <c r="G11" i="7" s="1"/>
  <c r="H11" i="7" s="1"/>
  <c r="F83" i="7"/>
  <c r="G83" i="7" s="1"/>
  <c r="F80" i="7"/>
  <c r="G80" i="7" s="1"/>
  <c r="H80" i="7" s="1"/>
  <c r="F77" i="7"/>
  <c r="G77" i="7" s="1"/>
  <c r="F35" i="7"/>
  <c r="G35" i="7" s="1"/>
  <c r="F32" i="7"/>
  <c r="G32" i="7" s="1"/>
  <c r="H32" i="7" s="1"/>
  <c r="F29" i="7"/>
  <c r="G29" i="7" s="1"/>
  <c r="F22" i="7"/>
  <c r="G22" i="7" s="1"/>
  <c r="F18" i="7"/>
  <c r="G18" i="7" s="1"/>
  <c r="H18" i="7" s="1"/>
  <c r="C1" i="6" a="1"/>
  <c r="C1" i="6" s="1"/>
  <c r="A1" i="6" a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M1" i="1"/>
  <c r="D95" i="1" l="1"/>
  <c r="D94" i="1"/>
  <c r="H15" i="7"/>
  <c r="H5" i="7"/>
  <c r="H81" i="7"/>
  <c r="H28" i="7"/>
  <c r="H53" i="7"/>
  <c r="H47" i="7"/>
  <c r="H55" i="7"/>
  <c r="H65" i="7"/>
  <c r="H91" i="7"/>
  <c r="H69" i="7"/>
  <c r="H16" i="7"/>
  <c r="H89" i="7"/>
  <c r="H83" i="7"/>
  <c r="H41" i="7"/>
  <c r="H46" i="7"/>
  <c r="H57" i="7"/>
  <c r="H93" i="7"/>
  <c r="H19" i="7"/>
  <c r="H4" i="7"/>
  <c r="H59" i="7"/>
  <c r="H71" i="7"/>
  <c r="H7" i="7"/>
  <c r="H45" i="7"/>
  <c r="H3" i="7"/>
  <c r="H34" i="7"/>
  <c r="H67" i="7"/>
  <c r="H43" i="7"/>
  <c r="H86" i="7"/>
  <c r="H74" i="7"/>
  <c r="H52" i="7"/>
  <c r="H58" i="7"/>
  <c r="H87" i="7"/>
  <c r="H27" i="7"/>
  <c r="H21" i="7"/>
  <c r="H31" i="7"/>
  <c r="H62" i="7"/>
  <c r="H9" i="7"/>
  <c r="H72" i="7"/>
  <c r="H10" i="7"/>
  <c r="H39" i="7"/>
  <c r="H14" i="7"/>
  <c r="H24" i="7"/>
  <c r="H82" i="7"/>
  <c r="H17" i="7"/>
  <c r="H35" i="7"/>
  <c r="H12" i="7"/>
  <c r="H50" i="7"/>
  <c r="H88" i="7"/>
  <c r="H75" i="7"/>
  <c r="H60" i="7"/>
  <c r="H84" i="7"/>
  <c r="H40" i="7"/>
  <c r="H22" i="7"/>
  <c r="H33" i="7"/>
  <c r="H70" i="7"/>
  <c r="H29" i="7"/>
  <c r="H77" i="7"/>
  <c r="H36" i="7"/>
  <c r="H79" i="7"/>
  <c r="H38" i="7"/>
  <c r="H76" i="7"/>
  <c r="H63" i="7"/>
  <c r="H48" i="7"/>
  <c r="H26" i="7"/>
  <c r="H64" i="7"/>
  <c r="H94" i="7"/>
  <c r="H51" i="7"/>
  <c r="D93" i="1"/>
  <c r="D92" i="1"/>
  <c r="D91" i="1"/>
  <c r="O89" i="6" a="1"/>
  <c r="O89" i="6" s="1"/>
  <c r="O2" i="6" a="1"/>
  <c r="O2" i="6" s="1"/>
  <c r="O8" i="6" a="1"/>
  <c r="O8" i="6" s="1"/>
  <c r="O14" i="6" a="1"/>
  <c r="O14" i="6" s="1"/>
  <c r="O20" i="6" a="1"/>
  <c r="O20" i="6" s="1"/>
  <c r="O26" i="6" a="1"/>
  <c r="O26" i="6" s="1"/>
  <c r="O32" i="6" a="1"/>
  <c r="O32" i="6" s="1"/>
  <c r="O38" i="6" a="1"/>
  <c r="O38" i="6" s="1"/>
  <c r="O44" i="6" a="1"/>
  <c r="O44" i="6" s="1"/>
  <c r="O50" i="6" a="1"/>
  <c r="O50" i="6" s="1"/>
  <c r="O56" i="6" a="1"/>
  <c r="O56" i="6" s="1"/>
  <c r="O62" i="6" a="1"/>
  <c r="O62" i="6" s="1"/>
  <c r="O68" i="6" a="1"/>
  <c r="O68" i="6" s="1"/>
  <c r="O74" i="6" a="1"/>
  <c r="O74" i="6" s="1"/>
  <c r="O80" i="6" a="1"/>
  <c r="O80" i="6" s="1"/>
  <c r="O86" i="6" a="1"/>
  <c r="O86" i="6" s="1"/>
  <c r="O24" i="6" a="1"/>
  <c r="O24" i="6" s="1"/>
  <c r="O72" i="6" a="1"/>
  <c r="O72" i="6" s="1"/>
  <c r="O31" i="6" a="1"/>
  <c r="O31" i="6" s="1"/>
  <c r="O55" i="6" a="1"/>
  <c r="O55" i="6" s="1"/>
  <c r="O85" i="6" a="1"/>
  <c r="O85" i="6" s="1"/>
  <c r="O57" i="6" a="1"/>
  <c r="O57" i="6" s="1"/>
  <c r="O81" i="6" a="1"/>
  <c r="O81" i="6" s="1"/>
  <c r="O42" i="6" a="1"/>
  <c r="O42" i="6" s="1"/>
  <c r="O78" i="6" a="1"/>
  <c r="O78" i="6" s="1"/>
  <c r="O13" i="6" a="1"/>
  <c r="O13" i="6" s="1"/>
  <c r="O49" i="6" a="1"/>
  <c r="O49" i="6" s="1"/>
  <c r="O3" i="6" a="1"/>
  <c r="O3" i="6" s="1"/>
  <c r="O9" i="6" a="1"/>
  <c r="O9" i="6" s="1"/>
  <c r="O15" i="6" a="1"/>
  <c r="O15" i="6" s="1"/>
  <c r="O21" i="6" a="1"/>
  <c r="O21" i="6" s="1"/>
  <c r="O27" i="6" a="1"/>
  <c r="O27" i="6" s="1"/>
  <c r="O33" i="6" a="1"/>
  <c r="O33" i="6" s="1"/>
  <c r="O39" i="6" a="1"/>
  <c r="O39" i="6" s="1"/>
  <c r="O45" i="6" a="1"/>
  <c r="O45" i="6" s="1"/>
  <c r="O51" i="6" a="1"/>
  <c r="O51" i="6" s="1"/>
  <c r="O63" i="6" a="1"/>
  <c r="O63" i="6" s="1"/>
  <c r="O69" i="6" a="1"/>
  <c r="O69" i="6" s="1"/>
  <c r="O75" i="6" a="1"/>
  <c r="O75" i="6" s="1"/>
  <c r="O87" i="6" a="1"/>
  <c r="O87" i="6" s="1"/>
  <c r="O36" i="6" a="1"/>
  <c r="O36" i="6" s="1"/>
  <c r="O60" i="6" a="1"/>
  <c r="O60" i="6" s="1"/>
  <c r="O84" i="6" a="1"/>
  <c r="O84" i="6" s="1"/>
  <c r="O7" i="6" a="1"/>
  <c r="O7" i="6" s="1"/>
  <c r="O73" i="6" a="1"/>
  <c r="O73" i="6" s="1"/>
  <c r="O58" i="6" a="1"/>
  <c r="O58" i="6" s="1"/>
  <c r="O82" i="6" a="1"/>
  <c r="O82" i="6" s="1"/>
  <c r="O12" i="6" a="1"/>
  <c r="O12" i="6" s="1"/>
  <c r="O48" i="6" a="1"/>
  <c r="O48" i="6" s="1"/>
  <c r="O19" i="6" a="1"/>
  <c r="O19" i="6" s="1"/>
  <c r="O61" i="6" a="1"/>
  <c r="O61" i="6" s="1"/>
  <c r="O4" i="6" a="1"/>
  <c r="O4" i="6" s="1"/>
  <c r="O10" i="6" a="1"/>
  <c r="O10" i="6" s="1"/>
  <c r="O16" i="6" a="1"/>
  <c r="O16" i="6" s="1"/>
  <c r="O22" i="6" a="1"/>
  <c r="O22" i="6" s="1"/>
  <c r="O28" i="6" a="1"/>
  <c r="O28" i="6" s="1"/>
  <c r="O34" i="6" a="1"/>
  <c r="O34" i="6" s="1"/>
  <c r="O40" i="6" a="1"/>
  <c r="O40" i="6" s="1"/>
  <c r="O46" i="6" a="1"/>
  <c r="O46" i="6" s="1"/>
  <c r="O52" i="6" a="1"/>
  <c r="O52" i="6" s="1"/>
  <c r="O64" i="6" a="1"/>
  <c r="O64" i="6" s="1"/>
  <c r="O70" i="6" a="1"/>
  <c r="O70" i="6" s="1"/>
  <c r="O76" i="6" a="1"/>
  <c r="O76" i="6" s="1"/>
  <c r="O88" i="6" a="1"/>
  <c r="O88" i="6" s="1"/>
  <c r="O30" i="6" a="1"/>
  <c r="O30" i="6" s="1"/>
  <c r="O66" i="6" a="1"/>
  <c r="O66" i="6" s="1"/>
  <c r="O47" i="6" a="1"/>
  <c r="O47" i="6" s="1"/>
  <c r="O65" i="6" a="1"/>
  <c r="O65" i="6" s="1"/>
  <c r="O77" i="6" a="1"/>
  <c r="O77" i="6" s="1"/>
  <c r="O5" i="6" a="1"/>
  <c r="O5" i="6" s="1"/>
  <c r="O11" i="6" a="1"/>
  <c r="O11" i="6" s="1"/>
  <c r="O17" i="6" a="1"/>
  <c r="O17" i="6" s="1"/>
  <c r="O23" i="6" a="1"/>
  <c r="O23" i="6" s="1"/>
  <c r="O29" i="6" a="1"/>
  <c r="O29" i="6" s="1"/>
  <c r="O35" i="6" a="1"/>
  <c r="O35" i="6" s="1"/>
  <c r="O41" i="6" a="1"/>
  <c r="O41" i="6" s="1"/>
  <c r="O53" i="6" a="1"/>
  <c r="O53" i="6" s="1"/>
  <c r="O59" i="6" a="1"/>
  <c r="O59" i="6" s="1"/>
  <c r="O71" i="6" a="1"/>
  <c r="O71" i="6" s="1"/>
  <c r="O83" i="6" a="1"/>
  <c r="O83" i="6" s="1"/>
  <c r="O18" i="6" a="1"/>
  <c r="O18" i="6" s="1"/>
  <c r="O54" i="6" a="1"/>
  <c r="O54" i="6" s="1"/>
  <c r="O25" i="6" a="1"/>
  <c r="O25" i="6" s="1"/>
  <c r="O43" i="6" a="1"/>
  <c r="O43" i="6" s="1"/>
  <c r="O79" i="6" a="1"/>
  <c r="O79" i="6" s="1"/>
  <c r="O6" i="6" a="1"/>
  <c r="O6" i="6" s="1"/>
  <c r="O37" i="6" a="1"/>
  <c r="O37" i="6" s="1"/>
  <c r="O67" i="6" a="1"/>
  <c r="O67" i="6" s="1"/>
  <c r="B87" i="6"/>
  <c r="B3" i="6"/>
  <c r="B15" i="6"/>
  <c r="B39" i="6"/>
  <c r="B75" i="6"/>
  <c r="B16" i="6"/>
  <c r="B40" i="6"/>
  <c r="B76" i="6"/>
  <c r="B41" i="6"/>
  <c r="B65" i="6"/>
  <c r="B6" i="6"/>
  <c r="B18" i="6"/>
  <c r="B30" i="6"/>
  <c r="B42" i="6"/>
  <c r="B54" i="6"/>
  <c r="B66" i="6"/>
  <c r="B78" i="6"/>
  <c r="B7" i="6"/>
  <c r="B19" i="6"/>
  <c r="B31" i="6"/>
  <c r="B43" i="6"/>
  <c r="B55" i="6"/>
  <c r="B67" i="6"/>
  <c r="B79" i="6"/>
  <c r="B28" i="6"/>
  <c r="B52" i="6"/>
  <c r="B64" i="6"/>
  <c r="B17" i="6"/>
  <c r="B89" i="6"/>
  <c r="B20" i="6"/>
  <c r="B44" i="6"/>
  <c r="B80" i="6"/>
  <c r="B63" i="6"/>
  <c r="B4" i="6"/>
  <c r="B88" i="6"/>
  <c r="B5" i="6"/>
  <c r="B29" i="6"/>
  <c r="B53" i="6"/>
  <c r="B77" i="6"/>
  <c r="B8" i="6"/>
  <c r="B32" i="6"/>
  <c r="B56" i="6"/>
  <c r="B68" i="6"/>
  <c r="A1" i="6"/>
  <c r="B9" i="6"/>
  <c r="B21" i="6"/>
  <c r="B33" i="6"/>
  <c r="B45" i="6"/>
  <c r="B57" i="6"/>
  <c r="B69" i="6"/>
  <c r="B81" i="6"/>
  <c r="B10" i="6"/>
  <c r="B22" i="6"/>
  <c r="B34" i="6"/>
  <c r="B46" i="6"/>
  <c r="B58" i="6"/>
  <c r="B70" i="6"/>
  <c r="B82" i="6"/>
  <c r="B83" i="6"/>
  <c r="B51" i="6"/>
  <c r="B13" i="6"/>
  <c r="B25" i="6"/>
  <c r="B37" i="6"/>
  <c r="B49" i="6"/>
  <c r="B61" i="6"/>
  <c r="B73" i="6"/>
  <c r="B85" i="6"/>
  <c r="B27" i="6"/>
  <c r="B11" i="6"/>
  <c r="B23" i="6"/>
  <c r="B35" i="6"/>
  <c r="B47" i="6"/>
  <c r="B59" i="6"/>
  <c r="B71" i="6"/>
  <c r="B12" i="6"/>
  <c r="B24" i="6"/>
  <c r="B36" i="6"/>
  <c r="B48" i="6"/>
  <c r="B60" i="6"/>
  <c r="B72" i="6"/>
  <c r="B84" i="6"/>
  <c r="B2" i="6"/>
  <c r="B14" i="6"/>
  <c r="B26" i="6"/>
  <c r="B38" i="6"/>
  <c r="B50" i="6"/>
  <c r="B62" i="6"/>
  <c r="B74" i="6"/>
  <c r="B86" i="6"/>
  <c r="M2" i="1"/>
  <c r="D62" i="1"/>
  <c r="D60" i="1"/>
  <c r="D55" i="1"/>
  <c r="D7" i="1"/>
  <c r="D87" i="1"/>
  <c r="D75" i="1"/>
  <c r="D63" i="1"/>
  <c r="D51" i="1"/>
  <c r="D39" i="1"/>
  <c r="D27" i="1"/>
  <c r="D15" i="1"/>
  <c r="D3" i="1"/>
  <c r="D74" i="1"/>
  <c r="D38" i="1"/>
  <c r="D85" i="1"/>
  <c r="D73" i="1"/>
  <c r="D61" i="1"/>
  <c r="D49" i="1"/>
  <c r="D37" i="1"/>
  <c r="D25" i="1"/>
  <c r="D13" i="1"/>
  <c r="D50" i="1"/>
  <c r="D72" i="1"/>
  <c r="D24" i="1"/>
  <c r="D71" i="1"/>
  <c r="D59" i="1"/>
  <c r="D47" i="1"/>
  <c r="D35" i="1"/>
  <c r="D23" i="1"/>
  <c r="D11" i="1"/>
  <c r="D82" i="1"/>
  <c r="D70" i="1"/>
  <c r="D58" i="1"/>
  <c r="D46" i="1"/>
  <c r="D34" i="1"/>
  <c r="D22" i="1"/>
  <c r="D10" i="1"/>
  <c r="D14" i="1"/>
  <c r="D36" i="1"/>
  <c r="D83" i="1"/>
  <c r="D81" i="1"/>
  <c r="D69" i="1"/>
  <c r="D57" i="1"/>
  <c r="D45" i="1"/>
  <c r="D33" i="1"/>
  <c r="D21" i="1"/>
  <c r="D9" i="1"/>
  <c r="D26" i="1"/>
  <c r="D84" i="1"/>
  <c r="D80" i="1"/>
  <c r="D68" i="1"/>
  <c r="D56" i="1"/>
  <c r="D44" i="1"/>
  <c r="D32" i="1"/>
  <c r="D20" i="1"/>
  <c r="D8" i="1"/>
  <c r="D43" i="1"/>
  <c r="D90" i="1"/>
  <c r="D78" i="1"/>
  <c r="D66" i="1"/>
  <c r="D54" i="1"/>
  <c r="D42" i="1"/>
  <c r="D30" i="1"/>
  <c r="D18" i="1"/>
  <c r="D6" i="1"/>
  <c r="D86" i="1"/>
  <c r="D12" i="1"/>
  <c r="D67" i="1"/>
  <c r="D19" i="1"/>
  <c r="D89" i="1"/>
  <c r="D77" i="1"/>
  <c r="D65" i="1"/>
  <c r="D53" i="1"/>
  <c r="D41" i="1"/>
  <c r="D29" i="1"/>
  <c r="D17" i="1"/>
  <c r="D5" i="1"/>
  <c r="D2" i="1"/>
  <c r="D48" i="1"/>
  <c r="D79" i="1"/>
  <c r="D31" i="1"/>
  <c r="D88" i="1"/>
  <c r="D76" i="1"/>
  <c r="D64" i="1"/>
  <c r="D52" i="1"/>
  <c r="D40" i="1"/>
  <c r="D28" i="1"/>
  <c r="D16" i="1"/>
  <c r="D4" i="1"/>
  <c r="H95" i="1" l="1"/>
  <c r="G95" i="1"/>
  <c r="I95" i="1"/>
  <c r="E95" i="1"/>
  <c r="C95" i="1"/>
  <c r="C93" i="1"/>
  <c r="G94" i="1"/>
  <c r="H94" i="1"/>
  <c r="I94" i="1"/>
  <c r="E94" i="1"/>
  <c r="C94" i="1"/>
  <c r="I7" i="7"/>
  <c r="J7" i="7" s="1"/>
  <c r="I38" i="7"/>
  <c r="J38" i="7" s="1"/>
  <c r="I41" i="7"/>
  <c r="J41" i="7" s="1"/>
  <c r="I44" i="7"/>
  <c r="J44" i="7" s="1"/>
  <c r="I86" i="7"/>
  <c r="J86" i="7" s="1"/>
  <c r="I89" i="7"/>
  <c r="J89" i="7" s="1"/>
  <c r="I92" i="7"/>
  <c r="J92" i="7" s="1"/>
  <c r="I64" i="7"/>
  <c r="J64" i="7" s="1"/>
  <c r="I67" i="7"/>
  <c r="J67" i="7" s="1"/>
  <c r="I70" i="7"/>
  <c r="J70" i="7" s="1"/>
  <c r="I51" i="7"/>
  <c r="J51" i="7" s="1"/>
  <c r="I45" i="7"/>
  <c r="J45" i="7" s="1"/>
  <c r="I48" i="7"/>
  <c r="J48" i="7" s="1"/>
  <c r="I93" i="7"/>
  <c r="J93" i="7" s="1"/>
  <c r="I88" i="7"/>
  <c r="J88" i="7" s="1"/>
  <c r="I22" i="7"/>
  <c r="J22" i="7" s="1"/>
  <c r="I26" i="7"/>
  <c r="J26" i="7" s="1"/>
  <c r="I29" i="7"/>
  <c r="J29" i="7" s="1"/>
  <c r="I32" i="7"/>
  <c r="J32" i="7" s="1"/>
  <c r="I74" i="7"/>
  <c r="J74" i="7" s="1"/>
  <c r="I77" i="7"/>
  <c r="J77" i="7" s="1"/>
  <c r="I80" i="7"/>
  <c r="J80" i="7" s="1"/>
  <c r="I40" i="7"/>
  <c r="J40" i="7" s="1"/>
  <c r="I46" i="7"/>
  <c r="J46" i="7" s="1"/>
  <c r="I91" i="7"/>
  <c r="J91" i="7" s="1"/>
  <c r="I15" i="7"/>
  <c r="J15" i="7" s="1"/>
  <c r="I19" i="7"/>
  <c r="J19" i="7" s="1"/>
  <c r="I52" i="7"/>
  <c r="J52" i="7" s="1"/>
  <c r="I55" i="7"/>
  <c r="J55" i="7" s="1"/>
  <c r="I58" i="7"/>
  <c r="J58" i="7" s="1"/>
  <c r="I8" i="7"/>
  <c r="J8" i="7" s="1"/>
  <c r="I12" i="7"/>
  <c r="J12" i="7" s="1"/>
  <c r="I33" i="7"/>
  <c r="J33" i="7" s="1"/>
  <c r="I36" i="7"/>
  <c r="J36" i="7" s="1"/>
  <c r="I39" i="7"/>
  <c r="J39" i="7" s="1"/>
  <c r="I81" i="7"/>
  <c r="J81" i="7" s="1"/>
  <c r="I84" i="7"/>
  <c r="J84" i="7" s="1"/>
  <c r="I87" i="7"/>
  <c r="J87" i="7" s="1"/>
  <c r="I5" i="7"/>
  <c r="J5" i="7" s="1"/>
  <c r="I9" i="7"/>
  <c r="J9" i="7" s="1"/>
  <c r="I62" i="7"/>
  <c r="J62" i="7" s="1"/>
  <c r="I65" i="7"/>
  <c r="J65" i="7" s="1"/>
  <c r="I68" i="7"/>
  <c r="J68" i="7" s="1"/>
  <c r="I43" i="7"/>
  <c r="J43" i="7" s="1"/>
  <c r="I27" i="7"/>
  <c r="J27" i="7" s="1"/>
  <c r="I69" i="7"/>
  <c r="J69" i="7" s="1"/>
  <c r="I72" i="7"/>
  <c r="J72" i="7" s="1"/>
  <c r="I75" i="7"/>
  <c r="J75" i="7" s="1"/>
  <c r="I94" i="7"/>
  <c r="J94" i="7" s="1"/>
  <c r="I20" i="7"/>
  <c r="J20" i="7" s="1"/>
  <c r="I24" i="7"/>
  <c r="J24" i="7" s="1"/>
  <c r="I50" i="7"/>
  <c r="J50" i="7" s="1"/>
  <c r="I53" i="7"/>
  <c r="J53" i="7" s="1"/>
  <c r="I56" i="7"/>
  <c r="J56" i="7" s="1"/>
  <c r="I17" i="7"/>
  <c r="J17" i="7" s="1"/>
  <c r="I21" i="7"/>
  <c r="J21" i="7" s="1"/>
  <c r="I28" i="7"/>
  <c r="J28" i="7" s="1"/>
  <c r="I31" i="7"/>
  <c r="J31" i="7" s="1"/>
  <c r="I34" i="7"/>
  <c r="J34" i="7" s="1"/>
  <c r="I76" i="7"/>
  <c r="J76" i="7" s="1"/>
  <c r="I79" i="7"/>
  <c r="J79" i="7" s="1"/>
  <c r="I82" i="7"/>
  <c r="J82" i="7" s="1"/>
  <c r="I10" i="7"/>
  <c r="J10" i="7" s="1"/>
  <c r="I14" i="7"/>
  <c r="J14" i="7" s="1"/>
  <c r="I57" i="7"/>
  <c r="J57" i="7" s="1"/>
  <c r="I60" i="7"/>
  <c r="J60" i="7" s="1"/>
  <c r="I63" i="7"/>
  <c r="J63" i="7" s="1"/>
  <c r="I83" i="7"/>
  <c r="J83" i="7" s="1"/>
  <c r="I11" i="7"/>
  <c r="J11" i="7" s="1"/>
  <c r="I30" i="7"/>
  <c r="J30" i="7" s="1"/>
  <c r="I49" i="7"/>
  <c r="J49" i="7" s="1"/>
  <c r="I59" i="7"/>
  <c r="J59" i="7" s="1"/>
  <c r="I66" i="7"/>
  <c r="J66" i="7" s="1"/>
  <c r="I13" i="7"/>
  <c r="J13" i="7" s="1"/>
  <c r="I25" i="7"/>
  <c r="J25" i="7" s="1"/>
  <c r="I42" i="7"/>
  <c r="J42" i="7" s="1"/>
  <c r="I71" i="7"/>
  <c r="J71" i="7" s="1"/>
  <c r="I90" i="7"/>
  <c r="J90" i="7" s="1"/>
  <c r="I18" i="7"/>
  <c r="J18" i="7" s="1"/>
  <c r="I37" i="7"/>
  <c r="J37" i="7" s="1"/>
  <c r="I78" i="7"/>
  <c r="J78" i="7" s="1"/>
  <c r="I85" i="7"/>
  <c r="J85" i="7" s="1"/>
  <c r="I61" i="7"/>
  <c r="J61" i="7" s="1"/>
  <c r="I6" i="7"/>
  <c r="J6" i="7" s="1"/>
  <c r="I4" i="7"/>
  <c r="J4" i="7" s="1"/>
  <c r="I3" i="7"/>
  <c r="J3" i="7" s="1"/>
  <c r="I23" i="7"/>
  <c r="J23" i="7" s="1"/>
  <c r="I47" i="7"/>
  <c r="J47" i="7" s="1"/>
  <c r="I16" i="7"/>
  <c r="J16" i="7" s="1"/>
  <c r="I35" i="7"/>
  <c r="J35" i="7" s="1"/>
  <c r="I54" i="7"/>
  <c r="J54" i="7" s="1"/>
  <c r="I73" i="7"/>
  <c r="J73" i="7" s="1"/>
  <c r="C92" i="1"/>
  <c r="G93" i="1"/>
  <c r="H93" i="1"/>
  <c r="I93" i="1"/>
  <c r="E93" i="1"/>
  <c r="E91" i="1"/>
  <c r="G92" i="1"/>
  <c r="H92" i="1"/>
  <c r="I92" i="1"/>
  <c r="E92" i="1"/>
  <c r="G91" i="1"/>
  <c r="H91" i="1"/>
  <c r="I91" i="1"/>
  <c r="C91" i="1"/>
  <c r="P28" i="6"/>
  <c r="Q28" i="6" s="1"/>
  <c r="R28" i="6"/>
  <c r="P70" i="6"/>
  <c r="Q70" i="6" s="1"/>
  <c r="R70" i="6"/>
  <c r="P13" i="6"/>
  <c r="Q13" i="6" s="1"/>
  <c r="R13" i="6"/>
  <c r="P74" i="6"/>
  <c r="Q74" i="6" s="1"/>
  <c r="R74" i="6"/>
  <c r="P23" i="6"/>
  <c r="Q23" i="6" s="1"/>
  <c r="R23" i="6"/>
  <c r="P63" i="6"/>
  <c r="Q63" i="6" s="1"/>
  <c r="R63" i="6"/>
  <c r="P68" i="6"/>
  <c r="Q68" i="6" s="1"/>
  <c r="R68" i="6"/>
  <c r="P17" i="6"/>
  <c r="Q17" i="6" s="1"/>
  <c r="R17" i="6"/>
  <c r="P12" i="6"/>
  <c r="Q12" i="6" s="1"/>
  <c r="R12" i="6"/>
  <c r="P51" i="6"/>
  <c r="Q51" i="6" s="1"/>
  <c r="R51" i="6"/>
  <c r="P62" i="6"/>
  <c r="Q62" i="6" s="1"/>
  <c r="R62" i="6"/>
  <c r="P25" i="6"/>
  <c r="Q25" i="6" s="1"/>
  <c r="R25" i="6"/>
  <c r="P11" i="6"/>
  <c r="Q11" i="6" s="1"/>
  <c r="R11" i="6"/>
  <c r="P46" i="6"/>
  <c r="Q46" i="6" s="1"/>
  <c r="R46" i="6"/>
  <c r="P82" i="6"/>
  <c r="Q82" i="6" s="1"/>
  <c r="R82" i="6"/>
  <c r="P45" i="6"/>
  <c r="Q45" i="6" s="1"/>
  <c r="R45" i="6"/>
  <c r="P81" i="6"/>
  <c r="Q81" i="6" s="1"/>
  <c r="R81" i="6"/>
  <c r="P56" i="6"/>
  <c r="Q56" i="6" s="1"/>
  <c r="R56" i="6"/>
  <c r="P83" i="6"/>
  <c r="Q83" i="6" s="1"/>
  <c r="R83" i="6"/>
  <c r="P29" i="6"/>
  <c r="Q29" i="6" s="1"/>
  <c r="R29" i="6"/>
  <c r="P64" i="6"/>
  <c r="Q64" i="6" s="1"/>
  <c r="R64" i="6"/>
  <c r="P78" i="6"/>
  <c r="Q78" i="6" s="1"/>
  <c r="R78" i="6"/>
  <c r="P43" i="6"/>
  <c r="Q43" i="6" s="1"/>
  <c r="R43" i="6"/>
  <c r="P52" i="6"/>
  <c r="Q52" i="6" s="1"/>
  <c r="R52" i="6"/>
  <c r="P42" i="6"/>
  <c r="Q42" i="6" s="1"/>
  <c r="R42" i="6"/>
  <c r="P54" i="6"/>
  <c r="Q54" i="6" s="1"/>
  <c r="R54" i="6"/>
  <c r="P5" i="6"/>
  <c r="Q5" i="6" s="1"/>
  <c r="R5" i="6"/>
  <c r="P40" i="6"/>
  <c r="Q40" i="6" s="1"/>
  <c r="R40" i="6"/>
  <c r="P58" i="6"/>
  <c r="Q58" i="6" s="1"/>
  <c r="R58" i="6"/>
  <c r="P39" i="6"/>
  <c r="Q39" i="6" s="1"/>
  <c r="R39" i="6"/>
  <c r="P57" i="6"/>
  <c r="Q57" i="6" s="1"/>
  <c r="R57" i="6"/>
  <c r="P50" i="6"/>
  <c r="Q50" i="6" s="1"/>
  <c r="R50" i="6"/>
  <c r="P6" i="6"/>
  <c r="Q6" i="6" s="1"/>
  <c r="R6" i="6"/>
  <c r="P69" i="6"/>
  <c r="Q69" i="6" s="1"/>
  <c r="R69" i="6"/>
  <c r="P79" i="6"/>
  <c r="Q79" i="6" s="1"/>
  <c r="R79" i="6"/>
  <c r="P48" i="6"/>
  <c r="Q48" i="6" s="1"/>
  <c r="R48" i="6"/>
  <c r="P18" i="6"/>
  <c r="Q18" i="6" s="1"/>
  <c r="R18" i="6"/>
  <c r="P77" i="6"/>
  <c r="Q77" i="6" s="1"/>
  <c r="R77" i="6"/>
  <c r="P34" i="6"/>
  <c r="Q34" i="6" s="1"/>
  <c r="R34" i="6"/>
  <c r="P73" i="6"/>
  <c r="Q73" i="6" s="1"/>
  <c r="R73" i="6"/>
  <c r="P33" i="6"/>
  <c r="Q33" i="6" s="1"/>
  <c r="R33" i="6"/>
  <c r="P85" i="6"/>
  <c r="Q85" i="6" s="1"/>
  <c r="R85" i="6"/>
  <c r="P44" i="6"/>
  <c r="Q44" i="6" s="1"/>
  <c r="R44" i="6"/>
  <c r="P27" i="6"/>
  <c r="Q27" i="6" s="1"/>
  <c r="R27" i="6"/>
  <c r="P55" i="6"/>
  <c r="Q55" i="6" s="1"/>
  <c r="R55" i="6"/>
  <c r="P38" i="6"/>
  <c r="Q38" i="6" s="1"/>
  <c r="R38" i="6"/>
  <c r="P71" i="6"/>
  <c r="Q71" i="6" s="1"/>
  <c r="R71" i="6"/>
  <c r="P32" i="6"/>
  <c r="Q32" i="6" s="1"/>
  <c r="R32" i="6"/>
  <c r="P65" i="6"/>
  <c r="Q65" i="6" s="1"/>
  <c r="R65" i="6"/>
  <c r="P47" i="6"/>
  <c r="Q47" i="6" s="1"/>
  <c r="R47" i="6"/>
  <c r="P84" i="6"/>
  <c r="Q84" i="6" s="1"/>
  <c r="R84" i="6"/>
  <c r="P21" i="6"/>
  <c r="Q21" i="6" s="1"/>
  <c r="R21" i="6"/>
  <c r="P31" i="6"/>
  <c r="Q31" i="6" s="1"/>
  <c r="R31" i="6"/>
  <c r="P59" i="6"/>
  <c r="Q59" i="6" s="1"/>
  <c r="R59" i="6"/>
  <c r="P66" i="6"/>
  <c r="Q66" i="6" s="1"/>
  <c r="R66" i="6"/>
  <c r="P16" i="6"/>
  <c r="Q16" i="6" s="1"/>
  <c r="R16" i="6"/>
  <c r="P60" i="6"/>
  <c r="Q60" i="6" s="1"/>
  <c r="R60" i="6"/>
  <c r="P15" i="6"/>
  <c r="Q15" i="6" s="1"/>
  <c r="R15" i="6"/>
  <c r="P72" i="6"/>
  <c r="Q72" i="6" s="1"/>
  <c r="R72" i="6"/>
  <c r="P26" i="6"/>
  <c r="Q26" i="6" s="1"/>
  <c r="R26" i="6"/>
  <c r="P53" i="6"/>
  <c r="Q53" i="6" s="1"/>
  <c r="R53" i="6"/>
  <c r="P30" i="6"/>
  <c r="Q30" i="6" s="1"/>
  <c r="R30" i="6"/>
  <c r="P10" i="6"/>
  <c r="Q10" i="6" s="1"/>
  <c r="R10" i="6"/>
  <c r="P36" i="6"/>
  <c r="Q36" i="6" s="1"/>
  <c r="R36" i="6"/>
  <c r="P9" i="6"/>
  <c r="Q9" i="6" s="1"/>
  <c r="R9" i="6"/>
  <c r="P24" i="6"/>
  <c r="Q24" i="6" s="1"/>
  <c r="R24" i="6"/>
  <c r="P20" i="6"/>
  <c r="Q20" i="6" s="1"/>
  <c r="R20" i="6"/>
  <c r="P7" i="6"/>
  <c r="Q7" i="6" s="1"/>
  <c r="R7" i="6"/>
  <c r="P22" i="6"/>
  <c r="Q22" i="6" s="1"/>
  <c r="R22" i="6"/>
  <c r="P67" i="6"/>
  <c r="Q67" i="6" s="1"/>
  <c r="R67" i="6"/>
  <c r="P41" i="6"/>
  <c r="Q41" i="6" s="1"/>
  <c r="R41" i="6"/>
  <c r="P88" i="6"/>
  <c r="Q88" i="6" s="1"/>
  <c r="R88" i="6"/>
  <c r="P4" i="6"/>
  <c r="Q4" i="6" s="1"/>
  <c r="R4" i="6"/>
  <c r="P87" i="6"/>
  <c r="Q87" i="6" s="1"/>
  <c r="R87" i="6"/>
  <c r="P3" i="6"/>
  <c r="Q3" i="6" s="1"/>
  <c r="R3" i="6"/>
  <c r="P86" i="6"/>
  <c r="Q86" i="6" s="1"/>
  <c r="R86" i="6"/>
  <c r="P14" i="6"/>
  <c r="Q14" i="6" s="1"/>
  <c r="R14" i="6"/>
  <c r="P37" i="6"/>
  <c r="Q37" i="6" s="1"/>
  <c r="R37" i="6"/>
  <c r="P35" i="6"/>
  <c r="Q35" i="6" s="1"/>
  <c r="R35" i="6"/>
  <c r="P76" i="6"/>
  <c r="Q76" i="6" s="1"/>
  <c r="R76" i="6"/>
  <c r="P61" i="6"/>
  <c r="Q61" i="6" s="1"/>
  <c r="R61" i="6"/>
  <c r="P75" i="6"/>
  <c r="Q75" i="6" s="1"/>
  <c r="R75" i="6"/>
  <c r="P49" i="6"/>
  <c r="Q49" i="6" s="1"/>
  <c r="R49" i="6"/>
  <c r="P80" i="6"/>
  <c r="Q80" i="6" s="1"/>
  <c r="R80" i="6"/>
  <c r="P8" i="6"/>
  <c r="Q8" i="6" s="1"/>
  <c r="R8" i="6"/>
  <c r="P19" i="6"/>
  <c r="Q19" i="6" s="1"/>
  <c r="R19" i="6"/>
  <c r="P2" i="6"/>
  <c r="Q2" i="6" s="1"/>
  <c r="R2" i="6"/>
  <c r="P89" i="6"/>
  <c r="Q89" i="6" s="1"/>
  <c r="R89" i="6"/>
  <c r="O1" i="6" a="1"/>
  <c r="O1" i="6" s="1"/>
  <c r="R1" i="6" s="1"/>
  <c r="B1" i="6"/>
  <c r="C2" i="1"/>
  <c r="I14" i="1"/>
  <c r="I26" i="1"/>
  <c r="I38" i="1"/>
  <c r="I50" i="1"/>
  <c r="I62" i="1"/>
  <c r="I74" i="1"/>
  <c r="I86" i="1"/>
  <c r="H8" i="1"/>
  <c r="H20" i="1"/>
  <c r="H32" i="1"/>
  <c r="H44" i="1"/>
  <c r="H56" i="1"/>
  <c r="H68" i="1"/>
  <c r="H80" i="1"/>
  <c r="G3" i="1"/>
  <c r="G15" i="1"/>
  <c r="G27" i="1"/>
  <c r="G39" i="1"/>
  <c r="G51" i="1"/>
  <c r="G63" i="1"/>
  <c r="G75" i="1"/>
  <c r="G87" i="1"/>
  <c r="I3" i="1"/>
  <c r="I15" i="1"/>
  <c r="I27" i="1"/>
  <c r="I39" i="1"/>
  <c r="I51" i="1"/>
  <c r="I63" i="1"/>
  <c r="I75" i="1"/>
  <c r="I87" i="1"/>
  <c r="H9" i="1"/>
  <c r="H21" i="1"/>
  <c r="H33" i="1"/>
  <c r="H45" i="1"/>
  <c r="H57" i="1"/>
  <c r="H69" i="1"/>
  <c r="H81" i="1"/>
  <c r="G4" i="1"/>
  <c r="G16" i="1"/>
  <c r="G28" i="1"/>
  <c r="G40" i="1"/>
  <c r="G52" i="1"/>
  <c r="G64" i="1"/>
  <c r="G76" i="1"/>
  <c r="G88" i="1"/>
  <c r="I4" i="1"/>
  <c r="I16" i="1"/>
  <c r="I28" i="1"/>
  <c r="I40" i="1"/>
  <c r="I52" i="1"/>
  <c r="I64" i="1"/>
  <c r="I76" i="1"/>
  <c r="I88" i="1"/>
  <c r="H10" i="1"/>
  <c r="H22" i="1"/>
  <c r="H34" i="1"/>
  <c r="H46" i="1"/>
  <c r="H58" i="1"/>
  <c r="H70" i="1"/>
  <c r="H82" i="1"/>
  <c r="G5" i="1"/>
  <c r="G17" i="1"/>
  <c r="G29" i="1"/>
  <c r="G41" i="1"/>
  <c r="G53" i="1"/>
  <c r="G65" i="1"/>
  <c r="G77" i="1"/>
  <c r="G89" i="1"/>
  <c r="I5" i="1"/>
  <c r="I17" i="1"/>
  <c r="I29" i="1"/>
  <c r="I41" i="1"/>
  <c r="I53" i="1"/>
  <c r="I65" i="1"/>
  <c r="I77" i="1"/>
  <c r="I89" i="1"/>
  <c r="H11" i="1"/>
  <c r="H23" i="1"/>
  <c r="H35" i="1"/>
  <c r="H47" i="1"/>
  <c r="H59" i="1"/>
  <c r="H71" i="1"/>
  <c r="H83" i="1"/>
  <c r="G6" i="1"/>
  <c r="G18" i="1"/>
  <c r="I6" i="1"/>
  <c r="I22" i="1"/>
  <c r="I42" i="1"/>
  <c r="I58" i="1"/>
  <c r="I78" i="1"/>
  <c r="H4" i="1"/>
  <c r="H24" i="1"/>
  <c r="H40" i="1"/>
  <c r="H60" i="1"/>
  <c r="H76" i="1"/>
  <c r="G7" i="1"/>
  <c r="G23" i="1"/>
  <c r="G38" i="1"/>
  <c r="G56" i="1"/>
  <c r="G71" i="1"/>
  <c r="G86" i="1"/>
  <c r="G8" i="1"/>
  <c r="G42" i="1"/>
  <c r="I46" i="1"/>
  <c r="G11" i="1"/>
  <c r="I47" i="1"/>
  <c r="H65" i="1"/>
  <c r="G46" i="1"/>
  <c r="I48" i="1"/>
  <c r="I84" i="1"/>
  <c r="H14" i="1"/>
  <c r="H66" i="1"/>
  <c r="G32" i="1"/>
  <c r="G80" i="1"/>
  <c r="I13" i="1"/>
  <c r="H31" i="1"/>
  <c r="H87" i="1"/>
  <c r="G48" i="1"/>
  <c r="G81" i="1"/>
  <c r="I18" i="1"/>
  <c r="I70" i="1"/>
  <c r="H36" i="1"/>
  <c r="H88" i="1"/>
  <c r="G67" i="1"/>
  <c r="I35" i="1"/>
  <c r="I2" i="1"/>
  <c r="H73" i="1"/>
  <c r="G35" i="1"/>
  <c r="G83" i="1"/>
  <c r="I36" i="1"/>
  <c r="I72" i="1"/>
  <c r="H18" i="1"/>
  <c r="H54" i="1"/>
  <c r="G21" i="1"/>
  <c r="G54" i="1"/>
  <c r="I37" i="1"/>
  <c r="I73" i="1"/>
  <c r="H39" i="1"/>
  <c r="G2" i="1"/>
  <c r="G55" i="1"/>
  <c r="I7" i="1"/>
  <c r="I23" i="1"/>
  <c r="I43" i="1"/>
  <c r="I59" i="1"/>
  <c r="I79" i="1"/>
  <c r="H5" i="1"/>
  <c r="H25" i="1"/>
  <c r="H41" i="1"/>
  <c r="H61" i="1"/>
  <c r="H77" i="1"/>
  <c r="G24" i="1"/>
  <c r="G57" i="1"/>
  <c r="G72" i="1"/>
  <c r="G90" i="1"/>
  <c r="I8" i="1"/>
  <c r="I24" i="1"/>
  <c r="I44" i="1"/>
  <c r="I60" i="1"/>
  <c r="I80" i="1"/>
  <c r="H6" i="1"/>
  <c r="H26" i="1"/>
  <c r="H42" i="1"/>
  <c r="H62" i="1"/>
  <c r="H78" i="1"/>
  <c r="G9" i="1"/>
  <c r="G25" i="1"/>
  <c r="G43" i="1"/>
  <c r="G58" i="1"/>
  <c r="G73" i="1"/>
  <c r="G26" i="1"/>
  <c r="G44" i="1"/>
  <c r="G59" i="1"/>
  <c r="G74" i="1"/>
  <c r="I10" i="1"/>
  <c r="I30" i="1"/>
  <c r="I66" i="1"/>
  <c r="I82" i="1"/>
  <c r="H12" i="1"/>
  <c r="H28" i="1"/>
  <c r="H48" i="1"/>
  <c r="H64" i="1"/>
  <c r="H84" i="1"/>
  <c r="G30" i="1"/>
  <c r="G60" i="1"/>
  <c r="G78" i="1"/>
  <c r="I11" i="1"/>
  <c r="I67" i="1"/>
  <c r="H13" i="1"/>
  <c r="H29" i="1"/>
  <c r="H85" i="1"/>
  <c r="G31" i="1"/>
  <c r="I12" i="1"/>
  <c r="H50" i="1"/>
  <c r="G47" i="1"/>
  <c r="I49" i="1"/>
  <c r="I69" i="1"/>
  <c r="I85" i="1"/>
  <c r="H51" i="1"/>
  <c r="G14" i="1"/>
  <c r="G66" i="1"/>
  <c r="I34" i="1"/>
  <c r="I90" i="1"/>
  <c r="H72" i="1"/>
  <c r="G49" i="1"/>
  <c r="I19" i="1"/>
  <c r="I71" i="1"/>
  <c r="H37" i="1"/>
  <c r="H89" i="1"/>
  <c r="G68" i="1"/>
  <c r="I56" i="1"/>
  <c r="H74" i="1"/>
  <c r="G69" i="1"/>
  <c r="I57" i="1"/>
  <c r="H19" i="1"/>
  <c r="H75" i="1"/>
  <c r="G37" i="1"/>
  <c r="G85" i="1"/>
  <c r="G45" i="1"/>
  <c r="I31" i="1"/>
  <c r="I83" i="1"/>
  <c r="H49" i="1"/>
  <c r="G12" i="1"/>
  <c r="G79" i="1"/>
  <c r="I32" i="1"/>
  <c r="G13" i="1"/>
  <c r="I9" i="1"/>
  <c r="I25" i="1"/>
  <c r="I45" i="1"/>
  <c r="I61" i="1"/>
  <c r="I81" i="1"/>
  <c r="H7" i="1"/>
  <c r="H27" i="1"/>
  <c r="H43" i="1"/>
  <c r="H63" i="1"/>
  <c r="H79" i="1"/>
  <c r="G10" i="1"/>
  <c r="G61" i="1"/>
  <c r="I68" i="1"/>
  <c r="H30" i="1"/>
  <c r="H86" i="1"/>
  <c r="G62" i="1"/>
  <c r="I33" i="1"/>
  <c r="H15" i="1"/>
  <c r="H67" i="1"/>
  <c r="G33" i="1"/>
  <c r="I54" i="1"/>
  <c r="H16" i="1"/>
  <c r="H52" i="1"/>
  <c r="G19" i="1"/>
  <c r="G34" i="1"/>
  <c r="G82" i="1"/>
  <c r="I55" i="1"/>
  <c r="H17" i="1"/>
  <c r="H53" i="1"/>
  <c r="G20" i="1"/>
  <c r="G50" i="1"/>
  <c r="I20" i="1"/>
  <c r="H2" i="1"/>
  <c r="H38" i="1"/>
  <c r="H90" i="1"/>
  <c r="G36" i="1"/>
  <c r="G84" i="1"/>
  <c r="I21" i="1"/>
  <c r="H3" i="1"/>
  <c r="H55" i="1"/>
  <c r="G22" i="1"/>
  <c r="G70" i="1"/>
  <c r="C79" i="1"/>
  <c r="C37" i="1"/>
  <c r="C52" i="1"/>
  <c r="E3" i="1"/>
  <c r="E88" i="1"/>
  <c r="C15" i="1"/>
  <c r="C18" i="1"/>
  <c r="C69" i="1"/>
  <c r="C50" i="1"/>
  <c r="E35" i="1"/>
  <c r="C28" i="1"/>
  <c r="E84" i="1"/>
  <c r="E85" i="1"/>
  <c r="E38" i="1"/>
  <c r="E41" i="1"/>
  <c r="C67" i="1"/>
  <c r="C8" i="1"/>
  <c r="E64" i="1"/>
  <c r="C33" i="1"/>
  <c r="C11" i="1"/>
  <c r="E67" i="1"/>
  <c r="C36" i="1"/>
  <c r="C25" i="1"/>
  <c r="E81" i="1"/>
  <c r="E13" i="1"/>
  <c r="C35" i="1"/>
  <c r="E73" i="1"/>
  <c r="C62" i="1"/>
  <c r="E50" i="1"/>
  <c r="C45" i="1"/>
  <c r="C89" i="1"/>
  <c r="C57" i="1"/>
  <c r="C64" i="1"/>
  <c r="C61" i="1"/>
  <c r="C27" i="1"/>
  <c r="C76" i="1"/>
  <c r="C30" i="1"/>
  <c r="E90" i="1"/>
  <c r="E27" i="1"/>
  <c r="C81" i="1"/>
  <c r="C59" i="1"/>
  <c r="C84" i="1"/>
  <c r="C73" i="1"/>
  <c r="C17" i="1"/>
  <c r="C20" i="1"/>
  <c r="C48" i="1"/>
  <c r="C74" i="1"/>
  <c r="C82" i="1"/>
  <c r="C32" i="1"/>
  <c r="C49" i="1"/>
  <c r="E71" i="1"/>
  <c r="E42" i="1"/>
  <c r="E10" i="1"/>
  <c r="E83" i="1"/>
  <c r="E86" i="1"/>
  <c r="C56" i="1"/>
  <c r="E22" i="1"/>
  <c r="C39" i="1"/>
  <c r="C88" i="1"/>
  <c r="C42" i="1"/>
  <c r="E39" i="1"/>
  <c r="E77" i="1"/>
  <c r="C68" i="1"/>
  <c r="E5" i="1"/>
  <c r="C34" i="1"/>
  <c r="C71" i="1"/>
  <c r="E8" i="1"/>
  <c r="C85" i="1"/>
  <c r="C22" i="1"/>
  <c r="E76" i="1"/>
  <c r="E34" i="1"/>
  <c r="C54" i="1"/>
  <c r="E17" i="1"/>
  <c r="C83" i="1"/>
  <c r="E20" i="1"/>
  <c r="E30" i="1"/>
  <c r="C40" i="1"/>
  <c r="E79" i="1"/>
  <c r="E59" i="1"/>
  <c r="E62" i="1"/>
  <c r="E2" i="1"/>
  <c r="C86" i="1"/>
  <c r="C44" i="1"/>
  <c r="C51" i="1"/>
  <c r="C46" i="1"/>
  <c r="E51" i="1"/>
  <c r="E18" i="1"/>
  <c r="E9" i="1"/>
  <c r="E46" i="1"/>
  <c r="C41" i="1"/>
  <c r="C63" i="1"/>
  <c r="E24" i="1"/>
  <c r="C66" i="1"/>
  <c r="C7" i="1"/>
  <c r="E63" i="1"/>
  <c r="C58" i="1"/>
  <c r="E4" i="1"/>
  <c r="E29" i="1"/>
  <c r="E66" i="1"/>
  <c r="E7" i="1"/>
  <c r="E44" i="1"/>
  <c r="E21" i="1"/>
  <c r="E78" i="1"/>
  <c r="E47" i="1"/>
  <c r="E25" i="1"/>
  <c r="C47" i="1"/>
  <c r="C70" i="1"/>
  <c r="C23" i="1"/>
  <c r="C3" i="1"/>
  <c r="C6" i="1"/>
  <c r="C60" i="1"/>
  <c r="E49" i="1"/>
  <c r="E15" i="1"/>
  <c r="C72" i="1"/>
  <c r="E12" i="1"/>
  <c r="C80" i="1"/>
  <c r="E58" i="1"/>
  <c r="E61" i="1"/>
  <c r="C75" i="1"/>
  <c r="E36" i="1"/>
  <c r="C78" i="1"/>
  <c r="C19" i="1"/>
  <c r="E6" i="1"/>
  <c r="E16" i="1"/>
  <c r="E53" i="1"/>
  <c r="E19" i="1"/>
  <c r="E68" i="1"/>
  <c r="C14" i="1"/>
  <c r="C87" i="1"/>
  <c r="E48" i="1"/>
  <c r="C90" i="1"/>
  <c r="C31" i="1"/>
  <c r="E87" i="1"/>
  <c r="E54" i="1"/>
  <c r="E28" i="1"/>
  <c r="E65" i="1"/>
  <c r="E31" i="1"/>
  <c r="E45" i="1"/>
  <c r="C5" i="1"/>
  <c r="E56" i="1"/>
  <c r="E74" i="1"/>
  <c r="E75" i="1"/>
  <c r="E70" i="1"/>
  <c r="C29" i="1"/>
  <c r="C26" i="1"/>
  <c r="E82" i="1"/>
  <c r="E11" i="1"/>
  <c r="C4" i="1"/>
  <c r="E60" i="1"/>
  <c r="C77" i="1"/>
  <c r="E14" i="1"/>
  <c r="C43" i="1"/>
  <c r="E40" i="1"/>
  <c r="C9" i="1"/>
  <c r="E89" i="1"/>
  <c r="E32" i="1"/>
  <c r="E43" i="1"/>
  <c r="C12" i="1"/>
  <c r="E57" i="1"/>
  <c r="C53" i="1"/>
  <c r="E80" i="1"/>
  <c r="E33" i="1"/>
  <c r="C38" i="1"/>
  <c r="C10" i="1"/>
  <c r="E23" i="1"/>
  <c r="C16" i="1"/>
  <c r="E72" i="1"/>
  <c r="E37" i="1"/>
  <c r="E26" i="1"/>
  <c r="C55" i="1"/>
  <c r="E52" i="1"/>
  <c r="C21" i="1"/>
  <c r="E55" i="1"/>
  <c r="C24" i="1"/>
  <c r="C13" i="1"/>
  <c r="E69" i="1"/>
  <c r="C65" i="1"/>
  <c r="B10" i="7" l="1"/>
  <c r="B11" i="7" s="1"/>
  <c r="P1" i="6"/>
  <c r="Q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Horacio González</author>
  </authors>
  <commentList>
    <comment ref="S1" authorId="0" shapeId="0" xr:uid="{4B2EF156-B252-4958-816A-13FF5E151CD4}">
      <text>
        <r>
          <rPr>
            <b/>
            <sz val="9"/>
            <color indexed="81"/>
            <rFont val="Tahoma"/>
            <charset val="1"/>
          </rPr>
          <t>Horacio González:</t>
        </r>
        <r>
          <rPr>
            <sz val="9"/>
            <color indexed="81"/>
            <rFont val="Tahoma"/>
            <charset val="1"/>
          </rPr>
          <t xml:space="preserve">
Gráfico Q-Q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Gildardo Horacio</author>
    <author>Horacio González</author>
  </authors>
  <commentList>
    <comment ref="B6" authorId="0" shapeId="0" xr:uid="{DCB111B4-6D25-4B67-A496-048AD287DCDB}">
      <text>
        <r>
          <rPr>
            <b/>
            <sz val="9"/>
            <color indexed="81"/>
            <rFont val="Tahoma"/>
            <charset val="1"/>
          </rPr>
          <t>Gildardo Horacio:</t>
        </r>
        <r>
          <rPr>
            <sz val="9"/>
            <color indexed="81"/>
            <rFont val="Tahoma"/>
            <charset val="1"/>
          </rPr>
          <t xml:space="preserve">
Para que una serie de datos sea normal, el valor de curtosis debe ser de 3 o lo más cercano. Si es menor a 3 los datos están dispersos. Si es mayor los datos están concentrados.
</t>
        </r>
      </text>
    </comment>
    <comment ref="B7" authorId="0" shapeId="0" xr:uid="{4ADA1229-DE8D-4FF7-A406-4FDF0AA721FD}">
      <text>
        <r>
          <rPr>
            <b/>
            <sz val="9"/>
            <color indexed="81"/>
            <rFont val="Tahoma"/>
            <charset val="1"/>
          </rPr>
          <t>Gildardo Horacio:</t>
        </r>
        <r>
          <rPr>
            <sz val="9"/>
            <color indexed="81"/>
            <rFont val="Tahoma"/>
            <charset val="1"/>
          </rPr>
          <t xml:space="preserve">
Indica que tan sesgados a la derecha o izquierda están los datos. Si es positivo los datos están sesgados a la derecha, si es negativo están a la izquierda. El valor ideal debe ser 0 o lo más cercano
</t>
        </r>
      </text>
    </comment>
    <comment ref="B13" authorId="1" shapeId="0" xr:uid="{1A7D4A90-33ED-4029-BFFB-BF267E1AE417}">
      <text>
        <r>
          <rPr>
            <b/>
            <sz val="9"/>
            <color indexed="81"/>
            <rFont val="Tahoma"/>
            <charset val="1"/>
          </rPr>
          <t>Horacio González:</t>
        </r>
        <r>
          <rPr>
            <sz val="9"/>
            <color indexed="81"/>
            <rFont val="Tahoma"/>
            <charset val="1"/>
          </rPr>
          <t xml:space="preserve">
Solo un limite superior, no se tiene limite inferior. Por eso se calcula solo CPK y no CP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<sst xmlns="http://schemas.openxmlformats.org/spreadsheetml/2006/main" count="47" uniqueCount="45">
  <si>
    <t>BATCH</t>
  </si>
  <si>
    <t>PROMEDIO ESPESOR</t>
  </si>
  <si>
    <t>PROMEDIO RANGO MÓVIL</t>
  </si>
  <si>
    <t>LCI</t>
  </si>
  <si>
    <t>LC</t>
  </si>
  <si>
    <t>LCS</t>
  </si>
  <si>
    <t>d2</t>
  </si>
  <si>
    <t>Limites de Control</t>
  </si>
  <si>
    <t>d3</t>
  </si>
  <si>
    <t>Limites de Control Rangos</t>
  </si>
  <si>
    <t>d4</t>
  </si>
  <si>
    <t>Inferior</t>
  </si>
  <si>
    <t>Superior</t>
  </si>
  <si>
    <t>LCI - R</t>
  </si>
  <si>
    <t>LC - R</t>
  </si>
  <si>
    <t>LCS - R</t>
  </si>
  <si>
    <t>Rango Móvil</t>
  </si>
  <si>
    <t>Inicio Batch</t>
  </si>
  <si>
    <t>#Batches a Analizar</t>
  </si>
  <si>
    <t>MEDIA</t>
  </si>
  <si>
    <t>MEDIANA</t>
  </si>
  <si>
    <t>MODA</t>
  </si>
  <si>
    <t>Análisis Estadístico</t>
  </si>
  <si>
    <t>Desv Estandar</t>
  </si>
  <si>
    <t>Curtosis</t>
  </si>
  <si>
    <t>Asimetria</t>
  </si>
  <si>
    <t>n</t>
  </si>
  <si>
    <t>Ordenar datos</t>
  </si>
  <si>
    <t>Valor z (zi)</t>
  </si>
  <si>
    <t>F(xi)</t>
  </si>
  <si>
    <t>1 - F(xi)</t>
  </si>
  <si>
    <t>i</t>
  </si>
  <si>
    <t>1-F(Xn-i+1)</t>
  </si>
  <si>
    <t>(2i-1)(Ln(F(xi))+Ln(F(Xn-i+1)))</t>
  </si>
  <si>
    <t>AD</t>
  </si>
  <si>
    <t>AD*</t>
  </si>
  <si>
    <t>Test Normalidad (Anderson Darling)</t>
  </si>
  <si>
    <t>Estadistico de prueba</t>
  </si>
  <si>
    <t>CALCULO CPK</t>
  </si>
  <si>
    <t>(Unilateral)</t>
  </si>
  <si>
    <t>Cpk</t>
  </si>
  <si>
    <t>L.S.E</t>
  </si>
  <si>
    <t>LCS-R</t>
  </si>
  <si>
    <t>LCI-R</t>
  </si>
  <si>
    <t>MEDICION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</si>
</sst>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0" fontId="0" fillId="2" borderId="0" xfId="0" applyFill="1"/>
    <xf numFmtId="0" fontId="0" fillId="0" borderId="0" xfId="0" applyAlignment="1">
      <alignment horizontal="center"/>
    </xf>
    <xf numFmtId="1" fontId="1" fillId="0" borderId="0" xfId="0" applyNumberFormat="1" applyFont="1"/>
    <xf numFmtId="1" fontId="0" fillId="0" borderId="0" xfId="0" applyNumberFormat="1"/>
    <xf numFmtId="0" fontId="0" fillId="3" borderId="0" xfId="0" applyFill="1"/>
    <xf numFmtId="0" fontId="4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5" fillId="2" borderId="0" xfId="0" applyFont="1" applyFill="1" applyAlignment="1">
      <alignment horizontal="center" vertical="center"/>
    </xf>
  </cellXfs>
  <cellStyles count="1"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F60000"/>
      <color rgb="FFFF2F2F"/>
      <color rgb="FFFF0D0D"/>
      <color rgb="FFD9D9D9"/>
      <color rgb="FFF20000"/>
      <color rgb="FFF00000"/>
      <color rgb="FFCC0000"/>
      <color rgb="FFB80000"/>
      <color rgb="FFD23E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Gráfica de Datos Individuales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Datos!$B$1</c:f>
              <c:strCache>
                <c:ptCount val="1"/>
                <c:pt idx="0">
                  <c:v>MEDICION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[0]!batch</c:f>
              <c:numCache>
                <c:formatCode>General</c:formatCode>
                <c:ptCount val="50"/>
                <c:pt idx="0">
                  <c:v>45</c:v>
                </c:pt>
                <c:pt idx="1">
                  <c:v>46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55</c:v>
                </c:pt>
                <c:pt idx="11">
                  <c:v>56</c:v>
                </c:pt>
                <c:pt idx="12">
                  <c:v>57</c:v>
                </c:pt>
                <c:pt idx="13">
                  <c:v>58</c:v>
                </c:pt>
                <c:pt idx="14">
                  <c:v>59</c:v>
                </c:pt>
                <c:pt idx="15">
                  <c:v>60</c:v>
                </c:pt>
                <c:pt idx="16">
                  <c:v>61</c:v>
                </c:pt>
                <c:pt idx="17">
                  <c:v>62</c:v>
                </c:pt>
                <c:pt idx="18">
                  <c:v>63</c:v>
                </c:pt>
                <c:pt idx="19">
                  <c:v>64</c:v>
                </c:pt>
                <c:pt idx="20">
                  <c:v>65</c:v>
                </c:pt>
                <c:pt idx="21">
                  <c:v>66</c:v>
                </c:pt>
                <c:pt idx="22">
                  <c:v>67</c:v>
                </c:pt>
                <c:pt idx="23">
                  <c:v>68</c:v>
                </c:pt>
                <c:pt idx="24">
                  <c:v>69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75</c:v>
                </c:pt>
                <c:pt idx="31">
                  <c:v>76</c:v>
                </c:pt>
                <c:pt idx="32">
                  <c:v>77</c:v>
                </c:pt>
                <c:pt idx="33">
                  <c:v>78</c:v>
                </c:pt>
                <c:pt idx="34">
                  <c:v>79</c:v>
                </c:pt>
                <c:pt idx="35">
                  <c:v>80</c:v>
                </c:pt>
                <c:pt idx="36">
                  <c:v>81</c:v>
                </c:pt>
                <c:pt idx="37">
                  <c:v>82</c:v>
                </c:pt>
                <c:pt idx="38">
                  <c:v>83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87</c:v>
                </c:pt>
                <c:pt idx="43">
                  <c:v>88</c:v>
                </c:pt>
                <c:pt idx="44">
                  <c:v>89</c:v>
                </c:pt>
                <c:pt idx="45">
                  <c:v>90</c:v>
                </c:pt>
                <c:pt idx="46">
                  <c:v>91</c:v>
                </c:pt>
                <c:pt idx="47">
                  <c:v>92</c:v>
                </c:pt>
                <c:pt idx="48">
                  <c:v>93</c:v>
                </c:pt>
                <c:pt idx="49">
                  <c:v>94</c:v>
                </c:pt>
              </c:numCache>
            </c:numRef>
          </c:cat>
          <c:val>
            <c:numRef>
              <c:f>[0]!espesor</c:f>
              <c:numCache>
                <c:formatCode>General</c:formatCode>
                <c:ptCount val="50"/>
                <c:pt idx="0">
                  <c:v>0.61</c:v>
                </c:pt>
                <c:pt idx="1">
                  <c:v>0.63</c:v>
                </c:pt>
                <c:pt idx="2">
                  <c:v>0.59</c:v>
                </c:pt>
                <c:pt idx="3">
                  <c:v>0.6</c:v>
                </c:pt>
                <c:pt idx="4">
                  <c:v>0.56000000000000005</c:v>
                </c:pt>
                <c:pt idx="5">
                  <c:v>0.57999999999999996</c:v>
                </c:pt>
                <c:pt idx="6">
                  <c:v>0.63</c:v>
                </c:pt>
                <c:pt idx="7">
                  <c:v>0.63</c:v>
                </c:pt>
                <c:pt idx="8">
                  <c:v>0.66</c:v>
                </c:pt>
                <c:pt idx="9">
                  <c:v>0.69</c:v>
                </c:pt>
                <c:pt idx="10">
                  <c:v>0.59</c:v>
                </c:pt>
                <c:pt idx="11">
                  <c:v>0.64</c:v>
                </c:pt>
                <c:pt idx="12">
                  <c:v>0.78</c:v>
                </c:pt>
                <c:pt idx="13">
                  <c:v>0.71</c:v>
                </c:pt>
                <c:pt idx="14">
                  <c:v>0.68</c:v>
                </c:pt>
                <c:pt idx="15">
                  <c:v>0.6</c:v>
                </c:pt>
                <c:pt idx="16">
                  <c:v>0.61</c:v>
                </c:pt>
                <c:pt idx="17">
                  <c:v>0.64</c:v>
                </c:pt>
                <c:pt idx="18">
                  <c:v>0.66</c:v>
                </c:pt>
                <c:pt idx="19">
                  <c:v>0.65</c:v>
                </c:pt>
                <c:pt idx="20">
                  <c:v>0.66</c:v>
                </c:pt>
                <c:pt idx="21">
                  <c:v>0.69</c:v>
                </c:pt>
                <c:pt idx="22">
                  <c:v>0.64</c:v>
                </c:pt>
                <c:pt idx="23">
                  <c:v>0.65</c:v>
                </c:pt>
                <c:pt idx="24">
                  <c:v>0.63</c:v>
                </c:pt>
                <c:pt idx="25">
                  <c:v>0.68</c:v>
                </c:pt>
                <c:pt idx="26">
                  <c:v>0.51</c:v>
                </c:pt>
                <c:pt idx="27">
                  <c:v>0.53</c:v>
                </c:pt>
                <c:pt idx="28">
                  <c:v>0.66</c:v>
                </c:pt>
                <c:pt idx="29">
                  <c:v>0.53</c:v>
                </c:pt>
                <c:pt idx="30">
                  <c:v>0.65</c:v>
                </c:pt>
                <c:pt idx="31">
                  <c:v>0.7</c:v>
                </c:pt>
                <c:pt idx="32">
                  <c:v>0.66</c:v>
                </c:pt>
                <c:pt idx="33">
                  <c:v>0.71</c:v>
                </c:pt>
                <c:pt idx="34">
                  <c:v>0.7</c:v>
                </c:pt>
                <c:pt idx="35">
                  <c:v>0.66</c:v>
                </c:pt>
                <c:pt idx="36">
                  <c:v>0.65</c:v>
                </c:pt>
                <c:pt idx="37">
                  <c:v>0.7</c:v>
                </c:pt>
                <c:pt idx="38">
                  <c:v>0.51</c:v>
                </c:pt>
                <c:pt idx="39">
                  <c:v>0.65</c:v>
                </c:pt>
                <c:pt idx="40">
                  <c:v>0.64</c:v>
                </c:pt>
                <c:pt idx="41">
                  <c:v>0.65</c:v>
                </c:pt>
                <c:pt idx="42">
                  <c:v>0.73</c:v>
                </c:pt>
                <c:pt idx="43">
                  <c:v>0.69</c:v>
                </c:pt>
                <c:pt idx="44">
                  <c:v>0.67</c:v>
                </c:pt>
                <c:pt idx="45">
                  <c:v>0.64</c:v>
                </c:pt>
                <c:pt idx="46">
                  <c:v>0.67</c:v>
                </c:pt>
                <c:pt idx="47">
                  <c:v>0.7</c:v>
                </c:pt>
                <c:pt idx="48">
                  <c:v>0.67</c:v>
                </c:pt>
                <c:pt idx="49">
                  <c:v>0.68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70-4E25-BC01-66B7DEA0A4EE}"/>
            </c:ext>
          </c:extLst>
        </c:ser>
        <c:ser>
          <c:idx val="1"/>
          <c:order val="1"/>
          <c:tx>
            <c:strRef>
              <c:f>Datos!$C$1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[0]!batch</c:f>
              <c:numCache>
                <c:formatCode>General</c:formatCode>
                <c:ptCount val="50"/>
                <c:pt idx="0">
                  <c:v>45</c:v>
                </c:pt>
                <c:pt idx="1">
                  <c:v>46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55</c:v>
                </c:pt>
                <c:pt idx="11">
                  <c:v>56</c:v>
                </c:pt>
                <c:pt idx="12">
                  <c:v>57</c:v>
                </c:pt>
                <c:pt idx="13">
                  <c:v>58</c:v>
                </c:pt>
                <c:pt idx="14">
                  <c:v>59</c:v>
                </c:pt>
                <c:pt idx="15">
                  <c:v>60</c:v>
                </c:pt>
                <c:pt idx="16">
                  <c:v>61</c:v>
                </c:pt>
                <c:pt idx="17">
                  <c:v>62</c:v>
                </c:pt>
                <c:pt idx="18">
                  <c:v>63</c:v>
                </c:pt>
                <c:pt idx="19">
                  <c:v>64</c:v>
                </c:pt>
                <c:pt idx="20">
                  <c:v>65</c:v>
                </c:pt>
                <c:pt idx="21">
                  <c:v>66</c:v>
                </c:pt>
                <c:pt idx="22">
                  <c:v>67</c:v>
                </c:pt>
                <c:pt idx="23">
                  <c:v>68</c:v>
                </c:pt>
                <c:pt idx="24">
                  <c:v>69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75</c:v>
                </c:pt>
                <c:pt idx="31">
                  <c:v>76</c:v>
                </c:pt>
                <c:pt idx="32">
                  <c:v>77</c:v>
                </c:pt>
                <c:pt idx="33">
                  <c:v>78</c:v>
                </c:pt>
                <c:pt idx="34">
                  <c:v>79</c:v>
                </c:pt>
                <c:pt idx="35">
                  <c:v>80</c:v>
                </c:pt>
                <c:pt idx="36">
                  <c:v>81</c:v>
                </c:pt>
                <c:pt idx="37">
                  <c:v>82</c:v>
                </c:pt>
                <c:pt idx="38">
                  <c:v>83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87</c:v>
                </c:pt>
                <c:pt idx="43">
                  <c:v>88</c:v>
                </c:pt>
                <c:pt idx="44">
                  <c:v>89</c:v>
                </c:pt>
                <c:pt idx="45">
                  <c:v>90</c:v>
                </c:pt>
                <c:pt idx="46">
                  <c:v>91</c:v>
                </c:pt>
                <c:pt idx="47">
                  <c:v>92</c:v>
                </c:pt>
                <c:pt idx="48">
                  <c:v>93</c:v>
                </c:pt>
                <c:pt idx="49">
                  <c:v>94</c:v>
                </c:pt>
              </c:numCache>
            </c:numRef>
          </c:cat>
          <c:val>
            <c:numRef>
              <c:f>[0]!v_i_lci</c:f>
              <c:numCache>
                <c:formatCode>0.00</c:formatCode>
                <c:ptCount val="50"/>
                <c:pt idx="0">
                  <c:v>0.50936170212765974</c:v>
                </c:pt>
                <c:pt idx="1">
                  <c:v>0.50936170212765974</c:v>
                </c:pt>
                <c:pt idx="2">
                  <c:v>0.50936170212765974</c:v>
                </c:pt>
                <c:pt idx="3">
                  <c:v>0.50936170212765974</c:v>
                </c:pt>
                <c:pt idx="4">
                  <c:v>0.50936170212765974</c:v>
                </c:pt>
                <c:pt idx="5">
                  <c:v>0.50936170212765974</c:v>
                </c:pt>
                <c:pt idx="6">
                  <c:v>0.50936170212765974</c:v>
                </c:pt>
                <c:pt idx="7">
                  <c:v>0.50936170212765974</c:v>
                </c:pt>
                <c:pt idx="8">
                  <c:v>0.50936170212765974</c:v>
                </c:pt>
                <c:pt idx="9">
                  <c:v>0.50936170212765974</c:v>
                </c:pt>
                <c:pt idx="10">
                  <c:v>0.50936170212765974</c:v>
                </c:pt>
                <c:pt idx="11">
                  <c:v>0.50936170212765974</c:v>
                </c:pt>
                <c:pt idx="12">
                  <c:v>0.50936170212765974</c:v>
                </c:pt>
                <c:pt idx="13">
                  <c:v>0.50936170212765974</c:v>
                </c:pt>
                <c:pt idx="14">
                  <c:v>0.50936170212765974</c:v>
                </c:pt>
                <c:pt idx="15">
                  <c:v>0.50936170212765974</c:v>
                </c:pt>
                <c:pt idx="16">
                  <c:v>0.50936170212765974</c:v>
                </c:pt>
                <c:pt idx="17">
                  <c:v>0.50936170212765974</c:v>
                </c:pt>
                <c:pt idx="18">
                  <c:v>0.50936170212765974</c:v>
                </c:pt>
                <c:pt idx="19">
                  <c:v>0.50936170212765974</c:v>
                </c:pt>
                <c:pt idx="20">
                  <c:v>0.50936170212765974</c:v>
                </c:pt>
                <c:pt idx="21">
                  <c:v>0.50936170212765974</c:v>
                </c:pt>
                <c:pt idx="22">
                  <c:v>0.50936170212765974</c:v>
                </c:pt>
                <c:pt idx="23">
                  <c:v>0.50936170212765974</c:v>
                </c:pt>
                <c:pt idx="24">
                  <c:v>0.50936170212765974</c:v>
                </c:pt>
                <c:pt idx="25">
                  <c:v>0.50936170212765974</c:v>
                </c:pt>
                <c:pt idx="26">
                  <c:v>0.50936170212765974</c:v>
                </c:pt>
                <c:pt idx="27">
                  <c:v>0.50936170212765974</c:v>
                </c:pt>
                <c:pt idx="28">
                  <c:v>0.50936170212765974</c:v>
                </c:pt>
                <c:pt idx="29">
                  <c:v>0.50936170212765974</c:v>
                </c:pt>
                <c:pt idx="30">
                  <c:v>0.50936170212765974</c:v>
                </c:pt>
                <c:pt idx="31">
                  <c:v>0.50936170212765974</c:v>
                </c:pt>
                <c:pt idx="32">
                  <c:v>0.50936170212765974</c:v>
                </c:pt>
                <c:pt idx="33">
                  <c:v>0.50936170212765974</c:v>
                </c:pt>
                <c:pt idx="34">
                  <c:v>0.50936170212765974</c:v>
                </c:pt>
                <c:pt idx="35">
                  <c:v>0.50936170212765974</c:v>
                </c:pt>
                <c:pt idx="36">
                  <c:v>0.50936170212765974</c:v>
                </c:pt>
                <c:pt idx="37">
                  <c:v>0.50936170212765974</c:v>
                </c:pt>
                <c:pt idx="38">
                  <c:v>0.50936170212765974</c:v>
                </c:pt>
                <c:pt idx="39">
                  <c:v>0.50936170212765974</c:v>
                </c:pt>
                <c:pt idx="40">
                  <c:v>0.50936170212765974</c:v>
                </c:pt>
                <c:pt idx="41">
                  <c:v>0.50936170212765974</c:v>
                </c:pt>
                <c:pt idx="42">
                  <c:v>0.50936170212765974</c:v>
                </c:pt>
                <c:pt idx="43">
                  <c:v>0.50936170212765974</c:v>
                </c:pt>
                <c:pt idx="44">
                  <c:v>0.50936170212765974</c:v>
                </c:pt>
                <c:pt idx="45">
                  <c:v>0.50936170212765974</c:v>
                </c:pt>
                <c:pt idx="46">
                  <c:v>0.50936170212765974</c:v>
                </c:pt>
                <c:pt idx="47">
                  <c:v>0.50936170212765974</c:v>
                </c:pt>
                <c:pt idx="48">
                  <c:v>0.50936170212765974</c:v>
                </c:pt>
                <c:pt idx="49">
                  <c:v>0.50936170212765974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70-4E25-BC01-66B7DEA0A4EE}"/>
            </c:ext>
          </c:extLst>
        </c:ser>
        <c:ser>
          <c:idx val="2"/>
          <c:order val="2"/>
          <c:tx>
            <c:strRef>
              <c:f>Datos!$D$1</c:f>
              <c:strCache>
                <c:ptCount val="1"/>
                <c:pt idx="0">
                  <c:v>LC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[0]!batch</c:f>
              <c:numCache>
                <c:formatCode>General</c:formatCode>
                <c:ptCount val="50"/>
                <c:pt idx="0">
                  <c:v>45</c:v>
                </c:pt>
                <c:pt idx="1">
                  <c:v>46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55</c:v>
                </c:pt>
                <c:pt idx="11">
                  <c:v>56</c:v>
                </c:pt>
                <c:pt idx="12">
                  <c:v>57</c:v>
                </c:pt>
                <c:pt idx="13">
                  <c:v>58</c:v>
                </c:pt>
                <c:pt idx="14">
                  <c:v>59</c:v>
                </c:pt>
                <c:pt idx="15">
                  <c:v>60</c:v>
                </c:pt>
                <c:pt idx="16">
                  <c:v>61</c:v>
                </c:pt>
                <c:pt idx="17">
                  <c:v>62</c:v>
                </c:pt>
                <c:pt idx="18">
                  <c:v>63</c:v>
                </c:pt>
                <c:pt idx="19">
                  <c:v>64</c:v>
                </c:pt>
                <c:pt idx="20">
                  <c:v>65</c:v>
                </c:pt>
                <c:pt idx="21">
                  <c:v>66</c:v>
                </c:pt>
                <c:pt idx="22">
                  <c:v>67</c:v>
                </c:pt>
                <c:pt idx="23">
                  <c:v>68</c:v>
                </c:pt>
                <c:pt idx="24">
                  <c:v>69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75</c:v>
                </c:pt>
                <c:pt idx="31">
                  <c:v>76</c:v>
                </c:pt>
                <c:pt idx="32">
                  <c:v>77</c:v>
                </c:pt>
                <c:pt idx="33">
                  <c:v>78</c:v>
                </c:pt>
                <c:pt idx="34">
                  <c:v>79</c:v>
                </c:pt>
                <c:pt idx="35">
                  <c:v>80</c:v>
                </c:pt>
                <c:pt idx="36">
                  <c:v>81</c:v>
                </c:pt>
                <c:pt idx="37">
                  <c:v>82</c:v>
                </c:pt>
                <c:pt idx="38">
                  <c:v>83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87</c:v>
                </c:pt>
                <c:pt idx="43">
                  <c:v>88</c:v>
                </c:pt>
                <c:pt idx="44">
                  <c:v>89</c:v>
                </c:pt>
                <c:pt idx="45">
                  <c:v>90</c:v>
                </c:pt>
                <c:pt idx="46">
                  <c:v>91</c:v>
                </c:pt>
                <c:pt idx="47">
                  <c:v>92</c:v>
                </c:pt>
                <c:pt idx="48">
                  <c:v>93</c:v>
                </c:pt>
                <c:pt idx="49">
                  <c:v>94</c:v>
                </c:pt>
              </c:numCache>
            </c:numRef>
          </c:cat>
          <c:val>
            <c:numRef>
              <c:f>[0]!v_i_media</c:f>
              <c:numCache>
                <c:formatCode>0.00</c:formatCode>
                <c:ptCount val="50"/>
                <c:pt idx="0">
                  <c:v>0.64500000000000013</c:v>
                </c:pt>
                <c:pt idx="1">
                  <c:v>0.64500000000000013</c:v>
                </c:pt>
                <c:pt idx="2">
                  <c:v>0.64500000000000013</c:v>
                </c:pt>
                <c:pt idx="3">
                  <c:v>0.64500000000000013</c:v>
                </c:pt>
                <c:pt idx="4">
                  <c:v>0.64500000000000013</c:v>
                </c:pt>
                <c:pt idx="5">
                  <c:v>0.64500000000000013</c:v>
                </c:pt>
                <c:pt idx="6">
                  <c:v>0.64500000000000013</c:v>
                </c:pt>
                <c:pt idx="7">
                  <c:v>0.64500000000000013</c:v>
                </c:pt>
                <c:pt idx="8">
                  <c:v>0.64500000000000013</c:v>
                </c:pt>
                <c:pt idx="9">
                  <c:v>0.64500000000000013</c:v>
                </c:pt>
                <c:pt idx="10">
                  <c:v>0.64500000000000013</c:v>
                </c:pt>
                <c:pt idx="11">
                  <c:v>0.64500000000000013</c:v>
                </c:pt>
                <c:pt idx="12">
                  <c:v>0.64500000000000013</c:v>
                </c:pt>
                <c:pt idx="13">
                  <c:v>0.64500000000000013</c:v>
                </c:pt>
                <c:pt idx="14">
                  <c:v>0.64500000000000013</c:v>
                </c:pt>
                <c:pt idx="15">
                  <c:v>0.64500000000000013</c:v>
                </c:pt>
                <c:pt idx="16">
                  <c:v>0.64500000000000013</c:v>
                </c:pt>
                <c:pt idx="17">
                  <c:v>0.64500000000000013</c:v>
                </c:pt>
                <c:pt idx="18">
                  <c:v>0.64500000000000013</c:v>
                </c:pt>
                <c:pt idx="19">
                  <c:v>0.64500000000000013</c:v>
                </c:pt>
                <c:pt idx="20">
                  <c:v>0.64500000000000013</c:v>
                </c:pt>
                <c:pt idx="21">
                  <c:v>0.64500000000000013</c:v>
                </c:pt>
                <c:pt idx="22">
                  <c:v>0.64500000000000013</c:v>
                </c:pt>
                <c:pt idx="23">
                  <c:v>0.64500000000000013</c:v>
                </c:pt>
                <c:pt idx="24">
                  <c:v>0.64500000000000013</c:v>
                </c:pt>
                <c:pt idx="25">
                  <c:v>0.64500000000000013</c:v>
                </c:pt>
                <c:pt idx="26">
                  <c:v>0.64500000000000013</c:v>
                </c:pt>
                <c:pt idx="27">
                  <c:v>0.64500000000000013</c:v>
                </c:pt>
                <c:pt idx="28">
                  <c:v>0.64500000000000013</c:v>
                </c:pt>
                <c:pt idx="29">
                  <c:v>0.64500000000000013</c:v>
                </c:pt>
                <c:pt idx="30">
                  <c:v>0.64500000000000013</c:v>
                </c:pt>
                <c:pt idx="31">
                  <c:v>0.64500000000000013</c:v>
                </c:pt>
                <c:pt idx="32">
                  <c:v>0.64500000000000013</c:v>
                </c:pt>
                <c:pt idx="33">
                  <c:v>0.64500000000000013</c:v>
                </c:pt>
                <c:pt idx="34">
                  <c:v>0.64500000000000013</c:v>
                </c:pt>
                <c:pt idx="35">
                  <c:v>0.64500000000000013</c:v>
                </c:pt>
                <c:pt idx="36">
                  <c:v>0.64500000000000013</c:v>
                </c:pt>
                <c:pt idx="37">
                  <c:v>0.64500000000000013</c:v>
                </c:pt>
                <c:pt idx="38">
                  <c:v>0.64500000000000013</c:v>
                </c:pt>
                <c:pt idx="39">
                  <c:v>0.64500000000000013</c:v>
                </c:pt>
                <c:pt idx="40">
                  <c:v>0.64500000000000013</c:v>
                </c:pt>
                <c:pt idx="41">
                  <c:v>0.64500000000000013</c:v>
                </c:pt>
                <c:pt idx="42">
                  <c:v>0.64500000000000013</c:v>
                </c:pt>
                <c:pt idx="43">
                  <c:v>0.64500000000000013</c:v>
                </c:pt>
                <c:pt idx="44">
                  <c:v>0.64500000000000013</c:v>
                </c:pt>
                <c:pt idx="45">
                  <c:v>0.64500000000000013</c:v>
                </c:pt>
                <c:pt idx="46">
                  <c:v>0.64500000000000013</c:v>
                </c:pt>
                <c:pt idx="47">
                  <c:v>0.64500000000000013</c:v>
                </c:pt>
                <c:pt idx="48">
                  <c:v>0.64500000000000013</c:v>
                </c:pt>
                <c:pt idx="49">
                  <c:v>0.64500000000000013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70-4E25-BC01-66B7DEA0A4EE}"/>
            </c:ext>
          </c:extLst>
        </c:ser>
        <c:ser>
          <c:idx val="3"/>
          <c:order val="3"/>
          <c:tx>
            <c:strRef>
              <c:f>Datos!$E$1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[0]!batch</c:f>
              <c:numCache>
                <c:formatCode>General</c:formatCode>
                <c:ptCount val="50"/>
                <c:pt idx="0">
                  <c:v>45</c:v>
                </c:pt>
                <c:pt idx="1">
                  <c:v>46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55</c:v>
                </c:pt>
                <c:pt idx="11">
                  <c:v>56</c:v>
                </c:pt>
                <c:pt idx="12">
                  <c:v>57</c:v>
                </c:pt>
                <c:pt idx="13">
                  <c:v>58</c:v>
                </c:pt>
                <c:pt idx="14">
                  <c:v>59</c:v>
                </c:pt>
                <c:pt idx="15">
                  <c:v>60</c:v>
                </c:pt>
                <c:pt idx="16">
                  <c:v>61</c:v>
                </c:pt>
                <c:pt idx="17">
                  <c:v>62</c:v>
                </c:pt>
                <c:pt idx="18">
                  <c:v>63</c:v>
                </c:pt>
                <c:pt idx="19">
                  <c:v>64</c:v>
                </c:pt>
                <c:pt idx="20">
                  <c:v>65</c:v>
                </c:pt>
                <c:pt idx="21">
                  <c:v>66</c:v>
                </c:pt>
                <c:pt idx="22">
                  <c:v>67</c:v>
                </c:pt>
                <c:pt idx="23">
                  <c:v>68</c:v>
                </c:pt>
                <c:pt idx="24">
                  <c:v>69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75</c:v>
                </c:pt>
                <c:pt idx="31">
                  <c:v>76</c:v>
                </c:pt>
                <c:pt idx="32">
                  <c:v>77</c:v>
                </c:pt>
                <c:pt idx="33">
                  <c:v>78</c:v>
                </c:pt>
                <c:pt idx="34">
                  <c:v>79</c:v>
                </c:pt>
                <c:pt idx="35">
                  <c:v>80</c:v>
                </c:pt>
                <c:pt idx="36">
                  <c:v>81</c:v>
                </c:pt>
                <c:pt idx="37">
                  <c:v>82</c:v>
                </c:pt>
                <c:pt idx="38">
                  <c:v>83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87</c:v>
                </c:pt>
                <c:pt idx="43">
                  <c:v>88</c:v>
                </c:pt>
                <c:pt idx="44">
                  <c:v>89</c:v>
                </c:pt>
                <c:pt idx="45">
                  <c:v>90</c:v>
                </c:pt>
                <c:pt idx="46">
                  <c:v>91</c:v>
                </c:pt>
                <c:pt idx="47">
                  <c:v>92</c:v>
                </c:pt>
                <c:pt idx="48">
                  <c:v>93</c:v>
                </c:pt>
                <c:pt idx="49">
                  <c:v>94</c:v>
                </c:pt>
              </c:numCache>
            </c:numRef>
          </c:cat>
          <c:val>
            <c:numRef>
              <c:f>[0]!v_i_lcs</c:f>
              <c:numCache>
                <c:formatCode>0.00</c:formatCode>
                <c:ptCount val="50"/>
                <c:pt idx="0">
                  <c:v>0.78063829787234051</c:v>
                </c:pt>
                <c:pt idx="1">
                  <c:v>0.78063829787234051</c:v>
                </c:pt>
                <c:pt idx="2">
                  <c:v>0.78063829787234051</c:v>
                </c:pt>
                <c:pt idx="3">
                  <c:v>0.78063829787234051</c:v>
                </c:pt>
                <c:pt idx="4">
                  <c:v>0.78063829787234051</c:v>
                </c:pt>
                <c:pt idx="5">
                  <c:v>0.78063829787234051</c:v>
                </c:pt>
                <c:pt idx="6">
                  <c:v>0.78063829787234051</c:v>
                </c:pt>
                <c:pt idx="7">
                  <c:v>0.78063829787234051</c:v>
                </c:pt>
                <c:pt idx="8">
                  <c:v>0.78063829787234051</c:v>
                </c:pt>
                <c:pt idx="9">
                  <c:v>0.78063829787234051</c:v>
                </c:pt>
                <c:pt idx="10">
                  <c:v>0.78063829787234051</c:v>
                </c:pt>
                <c:pt idx="11">
                  <c:v>0.78063829787234051</c:v>
                </c:pt>
                <c:pt idx="12">
                  <c:v>0.78063829787234051</c:v>
                </c:pt>
                <c:pt idx="13">
                  <c:v>0.78063829787234051</c:v>
                </c:pt>
                <c:pt idx="14">
                  <c:v>0.78063829787234051</c:v>
                </c:pt>
                <c:pt idx="15">
                  <c:v>0.78063829787234051</c:v>
                </c:pt>
                <c:pt idx="16">
                  <c:v>0.78063829787234051</c:v>
                </c:pt>
                <c:pt idx="17">
                  <c:v>0.78063829787234051</c:v>
                </c:pt>
                <c:pt idx="18">
                  <c:v>0.78063829787234051</c:v>
                </c:pt>
                <c:pt idx="19">
                  <c:v>0.78063829787234051</c:v>
                </c:pt>
                <c:pt idx="20">
                  <c:v>0.78063829787234051</c:v>
                </c:pt>
                <c:pt idx="21">
                  <c:v>0.78063829787234051</c:v>
                </c:pt>
                <c:pt idx="22">
                  <c:v>0.78063829787234051</c:v>
                </c:pt>
                <c:pt idx="23">
                  <c:v>0.78063829787234051</c:v>
                </c:pt>
                <c:pt idx="24">
                  <c:v>0.78063829787234051</c:v>
                </c:pt>
                <c:pt idx="25">
                  <c:v>0.78063829787234051</c:v>
                </c:pt>
                <c:pt idx="26">
                  <c:v>0.78063829787234051</c:v>
                </c:pt>
                <c:pt idx="27">
                  <c:v>0.78063829787234051</c:v>
                </c:pt>
                <c:pt idx="28">
                  <c:v>0.78063829787234051</c:v>
                </c:pt>
                <c:pt idx="29">
                  <c:v>0.78063829787234051</c:v>
                </c:pt>
                <c:pt idx="30">
                  <c:v>0.78063829787234051</c:v>
                </c:pt>
                <c:pt idx="31">
                  <c:v>0.78063829787234051</c:v>
                </c:pt>
                <c:pt idx="32">
                  <c:v>0.78063829787234051</c:v>
                </c:pt>
                <c:pt idx="33">
                  <c:v>0.78063829787234051</c:v>
                </c:pt>
                <c:pt idx="34">
                  <c:v>0.78063829787234051</c:v>
                </c:pt>
                <c:pt idx="35">
                  <c:v>0.78063829787234051</c:v>
                </c:pt>
                <c:pt idx="36">
                  <c:v>0.78063829787234051</c:v>
                </c:pt>
                <c:pt idx="37">
                  <c:v>0.78063829787234051</c:v>
                </c:pt>
                <c:pt idx="38">
                  <c:v>0.78063829787234051</c:v>
                </c:pt>
                <c:pt idx="39">
                  <c:v>0.78063829787234051</c:v>
                </c:pt>
                <c:pt idx="40">
                  <c:v>0.78063829787234051</c:v>
                </c:pt>
                <c:pt idx="41">
                  <c:v>0.78063829787234051</c:v>
                </c:pt>
                <c:pt idx="42">
                  <c:v>0.78063829787234051</c:v>
                </c:pt>
                <c:pt idx="43">
                  <c:v>0.78063829787234051</c:v>
                </c:pt>
                <c:pt idx="44">
                  <c:v>0.78063829787234051</c:v>
                </c:pt>
                <c:pt idx="45">
                  <c:v>0.78063829787234051</c:v>
                </c:pt>
                <c:pt idx="46">
                  <c:v>0.78063829787234051</c:v>
                </c:pt>
                <c:pt idx="47">
                  <c:v>0.78063829787234051</c:v>
                </c:pt>
                <c:pt idx="48">
                  <c:v>0.78063829787234051</c:v>
                </c:pt>
                <c:pt idx="49">
                  <c:v>0.78063829787234051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70-4E25-BC01-66B7DEA0A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1554336"/>
        <c:axId val="1681831936"/>
      </c:lineChart>
      <c:catAx>
        <c:axId val="1981554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81831936"/>
        <c:crosses val="autoZero"/>
        <c:auto val="1"/>
        <c:lblAlgn val="ctr"/>
        <c:lblOffset val="100"/>
        <c:noMultiLvlLbl val="0"/>
      </c:catAx>
      <c:valAx>
        <c:axId val="168183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81554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Gráfica de Rango Móvil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Datos!$F$1</c:f>
              <c:strCache>
                <c:ptCount val="1"/>
                <c:pt idx="0">
                  <c:v>Rango Móvil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[0]!batch</c:f>
              <c:numCache>
                <c:formatCode>General</c:formatCode>
                <c:ptCount val="50"/>
                <c:pt idx="0">
                  <c:v>45</c:v>
                </c:pt>
                <c:pt idx="1">
                  <c:v>46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55</c:v>
                </c:pt>
                <c:pt idx="11">
                  <c:v>56</c:v>
                </c:pt>
                <c:pt idx="12">
                  <c:v>57</c:v>
                </c:pt>
                <c:pt idx="13">
                  <c:v>58</c:v>
                </c:pt>
                <c:pt idx="14">
                  <c:v>59</c:v>
                </c:pt>
                <c:pt idx="15">
                  <c:v>60</c:v>
                </c:pt>
                <c:pt idx="16">
                  <c:v>61</c:v>
                </c:pt>
                <c:pt idx="17">
                  <c:v>62</c:v>
                </c:pt>
                <c:pt idx="18">
                  <c:v>63</c:v>
                </c:pt>
                <c:pt idx="19">
                  <c:v>64</c:v>
                </c:pt>
                <c:pt idx="20">
                  <c:v>65</c:v>
                </c:pt>
                <c:pt idx="21">
                  <c:v>66</c:v>
                </c:pt>
                <c:pt idx="22">
                  <c:v>67</c:v>
                </c:pt>
                <c:pt idx="23">
                  <c:v>68</c:v>
                </c:pt>
                <c:pt idx="24">
                  <c:v>69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75</c:v>
                </c:pt>
                <c:pt idx="31">
                  <c:v>76</c:v>
                </c:pt>
                <c:pt idx="32">
                  <c:v>77</c:v>
                </c:pt>
                <c:pt idx="33">
                  <c:v>78</c:v>
                </c:pt>
                <c:pt idx="34">
                  <c:v>79</c:v>
                </c:pt>
                <c:pt idx="35">
                  <c:v>80</c:v>
                </c:pt>
                <c:pt idx="36">
                  <c:v>81</c:v>
                </c:pt>
                <c:pt idx="37">
                  <c:v>82</c:v>
                </c:pt>
                <c:pt idx="38">
                  <c:v>83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87</c:v>
                </c:pt>
                <c:pt idx="43">
                  <c:v>88</c:v>
                </c:pt>
                <c:pt idx="44">
                  <c:v>89</c:v>
                </c:pt>
                <c:pt idx="45">
                  <c:v>90</c:v>
                </c:pt>
                <c:pt idx="46">
                  <c:v>91</c:v>
                </c:pt>
                <c:pt idx="47">
                  <c:v>92</c:v>
                </c:pt>
                <c:pt idx="48">
                  <c:v>93</c:v>
                </c:pt>
                <c:pt idx="49">
                  <c:v>94</c:v>
                </c:pt>
              </c:numCache>
            </c:numRef>
          </c:cat>
          <c:val>
            <c:numRef>
              <c:f>[0]!rm</c:f>
              <c:numCache>
                <c:formatCode>0.00</c:formatCode>
                <c:ptCount val="50"/>
                <c:pt idx="0">
                  <c:v>0.16000000000000003</c:v>
                </c:pt>
                <c:pt idx="1">
                  <c:v>2.0000000000000018E-2</c:v>
                </c:pt>
                <c:pt idx="2">
                  <c:v>4.0000000000000036E-2</c:v>
                </c:pt>
                <c:pt idx="3">
                  <c:v>1.0000000000000009E-2</c:v>
                </c:pt>
                <c:pt idx="4">
                  <c:v>3.9999999999999925E-2</c:v>
                </c:pt>
                <c:pt idx="5">
                  <c:v>1.9999999999999907E-2</c:v>
                </c:pt>
                <c:pt idx="6">
                  <c:v>5.0000000000000044E-2</c:v>
                </c:pt>
                <c:pt idx="7">
                  <c:v>0</c:v>
                </c:pt>
                <c:pt idx="8">
                  <c:v>3.0000000000000027E-2</c:v>
                </c:pt>
                <c:pt idx="9">
                  <c:v>2.9999999999999916E-2</c:v>
                </c:pt>
                <c:pt idx="10">
                  <c:v>9.9999999999999978E-2</c:v>
                </c:pt>
                <c:pt idx="11">
                  <c:v>5.0000000000000044E-2</c:v>
                </c:pt>
                <c:pt idx="12">
                  <c:v>0.14000000000000001</c:v>
                </c:pt>
                <c:pt idx="13">
                  <c:v>7.0000000000000062E-2</c:v>
                </c:pt>
                <c:pt idx="14">
                  <c:v>2.9999999999999916E-2</c:v>
                </c:pt>
                <c:pt idx="15">
                  <c:v>8.0000000000000071E-2</c:v>
                </c:pt>
                <c:pt idx="16">
                  <c:v>1.0000000000000009E-2</c:v>
                </c:pt>
                <c:pt idx="17">
                  <c:v>3.0000000000000027E-2</c:v>
                </c:pt>
                <c:pt idx="18">
                  <c:v>2.0000000000000018E-2</c:v>
                </c:pt>
                <c:pt idx="19">
                  <c:v>1.0000000000000009E-2</c:v>
                </c:pt>
                <c:pt idx="20">
                  <c:v>1.0000000000000009E-2</c:v>
                </c:pt>
                <c:pt idx="21">
                  <c:v>2.9999999999999916E-2</c:v>
                </c:pt>
                <c:pt idx="22">
                  <c:v>4.9999999999999933E-2</c:v>
                </c:pt>
                <c:pt idx="23">
                  <c:v>1.0000000000000009E-2</c:v>
                </c:pt>
                <c:pt idx="24">
                  <c:v>2.0000000000000018E-2</c:v>
                </c:pt>
                <c:pt idx="25">
                  <c:v>5.0000000000000044E-2</c:v>
                </c:pt>
                <c:pt idx="26">
                  <c:v>0.17000000000000004</c:v>
                </c:pt>
                <c:pt idx="27">
                  <c:v>2.0000000000000018E-2</c:v>
                </c:pt>
                <c:pt idx="28">
                  <c:v>0.13</c:v>
                </c:pt>
                <c:pt idx="29">
                  <c:v>0.13</c:v>
                </c:pt>
                <c:pt idx="30">
                  <c:v>0.12</c:v>
                </c:pt>
                <c:pt idx="31">
                  <c:v>4.9999999999999933E-2</c:v>
                </c:pt>
                <c:pt idx="32">
                  <c:v>3.9999999999999925E-2</c:v>
                </c:pt>
                <c:pt idx="33">
                  <c:v>4.9999999999999933E-2</c:v>
                </c:pt>
                <c:pt idx="34">
                  <c:v>1.0000000000000009E-2</c:v>
                </c:pt>
                <c:pt idx="35">
                  <c:v>3.9999999999999925E-2</c:v>
                </c:pt>
                <c:pt idx="36">
                  <c:v>1.0000000000000009E-2</c:v>
                </c:pt>
                <c:pt idx="37">
                  <c:v>4.9999999999999933E-2</c:v>
                </c:pt>
                <c:pt idx="38">
                  <c:v>0.18999999999999995</c:v>
                </c:pt>
                <c:pt idx="39">
                  <c:v>0.14000000000000001</c:v>
                </c:pt>
                <c:pt idx="40">
                  <c:v>1.0000000000000009E-2</c:v>
                </c:pt>
                <c:pt idx="41">
                  <c:v>1.0000000000000009E-2</c:v>
                </c:pt>
                <c:pt idx="42">
                  <c:v>7.999999999999996E-2</c:v>
                </c:pt>
                <c:pt idx="43">
                  <c:v>4.0000000000000036E-2</c:v>
                </c:pt>
                <c:pt idx="44">
                  <c:v>1.9999999999999907E-2</c:v>
                </c:pt>
                <c:pt idx="45">
                  <c:v>3.0000000000000027E-2</c:v>
                </c:pt>
                <c:pt idx="46">
                  <c:v>3.0000000000000027E-2</c:v>
                </c:pt>
                <c:pt idx="47">
                  <c:v>2.9999999999999916E-2</c:v>
                </c:pt>
                <c:pt idx="48">
                  <c:v>2.9999999999999916E-2</c:v>
                </c:pt>
                <c:pt idx="49">
                  <c:v>1.0000000000000009E-2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AF-4235-A9E7-216A3011B803}"/>
            </c:ext>
          </c:extLst>
        </c:ser>
        <c:ser>
          <c:idx val="1"/>
          <c:order val="1"/>
          <c:tx>
            <c:strRef>
              <c:f>Datos!$G$1</c:f>
              <c:strCache>
                <c:ptCount val="1"/>
                <c:pt idx="0">
                  <c:v>LCI - 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[0]!batch</c:f>
              <c:numCache>
                <c:formatCode>General</c:formatCode>
                <c:ptCount val="50"/>
                <c:pt idx="0">
                  <c:v>45</c:v>
                </c:pt>
                <c:pt idx="1">
                  <c:v>46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55</c:v>
                </c:pt>
                <c:pt idx="11">
                  <c:v>56</c:v>
                </c:pt>
                <c:pt idx="12">
                  <c:v>57</c:v>
                </c:pt>
                <c:pt idx="13">
                  <c:v>58</c:v>
                </c:pt>
                <c:pt idx="14">
                  <c:v>59</c:v>
                </c:pt>
                <c:pt idx="15">
                  <c:v>60</c:v>
                </c:pt>
                <c:pt idx="16">
                  <c:v>61</c:v>
                </c:pt>
                <c:pt idx="17">
                  <c:v>62</c:v>
                </c:pt>
                <c:pt idx="18">
                  <c:v>63</c:v>
                </c:pt>
                <c:pt idx="19">
                  <c:v>64</c:v>
                </c:pt>
                <c:pt idx="20">
                  <c:v>65</c:v>
                </c:pt>
                <c:pt idx="21">
                  <c:v>66</c:v>
                </c:pt>
                <c:pt idx="22">
                  <c:v>67</c:v>
                </c:pt>
                <c:pt idx="23">
                  <c:v>68</c:v>
                </c:pt>
                <c:pt idx="24">
                  <c:v>69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75</c:v>
                </c:pt>
                <c:pt idx="31">
                  <c:v>76</c:v>
                </c:pt>
                <c:pt idx="32">
                  <c:v>77</c:v>
                </c:pt>
                <c:pt idx="33">
                  <c:v>78</c:v>
                </c:pt>
                <c:pt idx="34">
                  <c:v>79</c:v>
                </c:pt>
                <c:pt idx="35">
                  <c:v>80</c:v>
                </c:pt>
                <c:pt idx="36">
                  <c:v>81</c:v>
                </c:pt>
                <c:pt idx="37">
                  <c:v>82</c:v>
                </c:pt>
                <c:pt idx="38">
                  <c:v>83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87</c:v>
                </c:pt>
                <c:pt idx="43">
                  <c:v>88</c:v>
                </c:pt>
                <c:pt idx="44">
                  <c:v>89</c:v>
                </c:pt>
                <c:pt idx="45">
                  <c:v>90</c:v>
                </c:pt>
                <c:pt idx="46">
                  <c:v>91</c:v>
                </c:pt>
                <c:pt idx="47">
                  <c:v>92</c:v>
                </c:pt>
                <c:pt idx="48">
                  <c:v>93</c:v>
                </c:pt>
                <c:pt idx="49">
                  <c:v>94</c:v>
                </c:pt>
              </c:numCache>
            </c:numRef>
          </c:cat>
          <c:val>
            <c:numRef>
              <c:f>[0]!v_lci_r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AF-4235-A9E7-216A3011B803}"/>
            </c:ext>
          </c:extLst>
        </c:ser>
        <c:ser>
          <c:idx val="2"/>
          <c:order val="2"/>
          <c:tx>
            <c:strRef>
              <c:f>Datos!$H$1</c:f>
              <c:strCache>
                <c:ptCount val="1"/>
                <c:pt idx="0">
                  <c:v>LC - 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[0]!batch</c:f>
              <c:numCache>
                <c:formatCode>General</c:formatCode>
                <c:ptCount val="50"/>
                <c:pt idx="0">
                  <c:v>45</c:v>
                </c:pt>
                <c:pt idx="1">
                  <c:v>46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55</c:v>
                </c:pt>
                <c:pt idx="11">
                  <c:v>56</c:v>
                </c:pt>
                <c:pt idx="12">
                  <c:v>57</c:v>
                </c:pt>
                <c:pt idx="13">
                  <c:v>58</c:v>
                </c:pt>
                <c:pt idx="14">
                  <c:v>59</c:v>
                </c:pt>
                <c:pt idx="15">
                  <c:v>60</c:v>
                </c:pt>
                <c:pt idx="16">
                  <c:v>61</c:v>
                </c:pt>
                <c:pt idx="17">
                  <c:v>62</c:v>
                </c:pt>
                <c:pt idx="18">
                  <c:v>63</c:v>
                </c:pt>
                <c:pt idx="19">
                  <c:v>64</c:v>
                </c:pt>
                <c:pt idx="20">
                  <c:v>65</c:v>
                </c:pt>
                <c:pt idx="21">
                  <c:v>66</c:v>
                </c:pt>
                <c:pt idx="22">
                  <c:v>67</c:v>
                </c:pt>
                <c:pt idx="23">
                  <c:v>68</c:v>
                </c:pt>
                <c:pt idx="24">
                  <c:v>69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75</c:v>
                </c:pt>
                <c:pt idx="31">
                  <c:v>76</c:v>
                </c:pt>
                <c:pt idx="32">
                  <c:v>77</c:v>
                </c:pt>
                <c:pt idx="33">
                  <c:v>78</c:v>
                </c:pt>
                <c:pt idx="34">
                  <c:v>79</c:v>
                </c:pt>
                <c:pt idx="35">
                  <c:v>80</c:v>
                </c:pt>
                <c:pt idx="36">
                  <c:v>81</c:v>
                </c:pt>
                <c:pt idx="37">
                  <c:v>82</c:v>
                </c:pt>
                <c:pt idx="38">
                  <c:v>83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87</c:v>
                </c:pt>
                <c:pt idx="43">
                  <c:v>88</c:v>
                </c:pt>
                <c:pt idx="44">
                  <c:v>89</c:v>
                </c:pt>
                <c:pt idx="45">
                  <c:v>90</c:v>
                </c:pt>
                <c:pt idx="46">
                  <c:v>91</c:v>
                </c:pt>
                <c:pt idx="47">
                  <c:v>92</c:v>
                </c:pt>
                <c:pt idx="48">
                  <c:v>93</c:v>
                </c:pt>
                <c:pt idx="49">
                  <c:v>94</c:v>
                </c:pt>
              </c:numCache>
            </c:numRef>
          </c:cat>
          <c:val>
            <c:numRef>
              <c:f>[0]!v_rango_movil</c:f>
              <c:numCache>
                <c:formatCode>0.00</c:formatCode>
                <c:ptCount val="50"/>
                <c:pt idx="0">
                  <c:v>5.0999999999999976E-2</c:v>
                </c:pt>
                <c:pt idx="1">
                  <c:v>5.0999999999999976E-2</c:v>
                </c:pt>
                <c:pt idx="2">
                  <c:v>5.0999999999999976E-2</c:v>
                </c:pt>
                <c:pt idx="3">
                  <c:v>5.0999999999999976E-2</c:v>
                </c:pt>
                <c:pt idx="4">
                  <c:v>5.0999999999999976E-2</c:v>
                </c:pt>
                <c:pt idx="5">
                  <c:v>5.0999999999999976E-2</c:v>
                </c:pt>
                <c:pt idx="6">
                  <c:v>5.0999999999999976E-2</c:v>
                </c:pt>
                <c:pt idx="7">
                  <c:v>5.0999999999999976E-2</c:v>
                </c:pt>
                <c:pt idx="8">
                  <c:v>5.0999999999999976E-2</c:v>
                </c:pt>
                <c:pt idx="9">
                  <c:v>5.0999999999999976E-2</c:v>
                </c:pt>
                <c:pt idx="10">
                  <c:v>5.0999999999999976E-2</c:v>
                </c:pt>
                <c:pt idx="11">
                  <c:v>5.0999999999999976E-2</c:v>
                </c:pt>
                <c:pt idx="12">
                  <c:v>5.0999999999999976E-2</c:v>
                </c:pt>
                <c:pt idx="13">
                  <c:v>5.0999999999999976E-2</c:v>
                </c:pt>
                <c:pt idx="14">
                  <c:v>5.0999999999999976E-2</c:v>
                </c:pt>
                <c:pt idx="15">
                  <c:v>5.0999999999999976E-2</c:v>
                </c:pt>
                <c:pt idx="16">
                  <c:v>5.0999999999999976E-2</c:v>
                </c:pt>
                <c:pt idx="17">
                  <c:v>5.0999999999999976E-2</c:v>
                </c:pt>
                <c:pt idx="18">
                  <c:v>5.0999999999999976E-2</c:v>
                </c:pt>
                <c:pt idx="19">
                  <c:v>5.0999999999999976E-2</c:v>
                </c:pt>
                <c:pt idx="20">
                  <c:v>5.0999999999999976E-2</c:v>
                </c:pt>
                <c:pt idx="21">
                  <c:v>5.0999999999999976E-2</c:v>
                </c:pt>
                <c:pt idx="22">
                  <c:v>5.0999999999999976E-2</c:v>
                </c:pt>
                <c:pt idx="23">
                  <c:v>5.0999999999999976E-2</c:v>
                </c:pt>
                <c:pt idx="24">
                  <c:v>5.0999999999999976E-2</c:v>
                </c:pt>
                <c:pt idx="25">
                  <c:v>5.0999999999999976E-2</c:v>
                </c:pt>
                <c:pt idx="26">
                  <c:v>5.0999999999999976E-2</c:v>
                </c:pt>
                <c:pt idx="27">
                  <c:v>5.0999999999999976E-2</c:v>
                </c:pt>
                <c:pt idx="28">
                  <c:v>5.0999999999999976E-2</c:v>
                </c:pt>
                <c:pt idx="29">
                  <c:v>5.0999999999999976E-2</c:v>
                </c:pt>
                <c:pt idx="30">
                  <c:v>5.0999999999999976E-2</c:v>
                </c:pt>
                <c:pt idx="31">
                  <c:v>5.0999999999999976E-2</c:v>
                </c:pt>
                <c:pt idx="32">
                  <c:v>5.0999999999999976E-2</c:v>
                </c:pt>
                <c:pt idx="33">
                  <c:v>5.0999999999999976E-2</c:v>
                </c:pt>
                <c:pt idx="34">
                  <c:v>5.0999999999999976E-2</c:v>
                </c:pt>
                <c:pt idx="35">
                  <c:v>5.0999999999999976E-2</c:v>
                </c:pt>
                <c:pt idx="36">
                  <c:v>5.0999999999999976E-2</c:v>
                </c:pt>
                <c:pt idx="37">
                  <c:v>5.0999999999999976E-2</c:v>
                </c:pt>
                <c:pt idx="38">
                  <c:v>5.0999999999999976E-2</c:v>
                </c:pt>
                <c:pt idx="39">
                  <c:v>5.0999999999999976E-2</c:v>
                </c:pt>
                <c:pt idx="40">
                  <c:v>5.0999999999999976E-2</c:v>
                </c:pt>
                <c:pt idx="41">
                  <c:v>5.0999999999999976E-2</c:v>
                </c:pt>
                <c:pt idx="42">
                  <c:v>5.0999999999999976E-2</c:v>
                </c:pt>
                <c:pt idx="43">
                  <c:v>5.0999999999999976E-2</c:v>
                </c:pt>
                <c:pt idx="44">
                  <c:v>5.0999999999999976E-2</c:v>
                </c:pt>
                <c:pt idx="45">
                  <c:v>5.0999999999999976E-2</c:v>
                </c:pt>
                <c:pt idx="46">
                  <c:v>5.0999999999999976E-2</c:v>
                </c:pt>
                <c:pt idx="47">
                  <c:v>5.0999999999999976E-2</c:v>
                </c:pt>
                <c:pt idx="48">
                  <c:v>5.0999999999999976E-2</c:v>
                </c:pt>
                <c:pt idx="49">
                  <c:v>5.0999999999999976E-2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AF-4235-A9E7-216A3011B803}"/>
            </c:ext>
          </c:extLst>
        </c:ser>
        <c:ser>
          <c:idx val="3"/>
          <c:order val="3"/>
          <c:tx>
            <c:strRef>
              <c:f>Datos!$I$1</c:f>
              <c:strCache>
                <c:ptCount val="1"/>
                <c:pt idx="0">
                  <c:v>LCS - 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[0]!batch</c:f>
              <c:numCache>
                <c:formatCode>General</c:formatCode>
                <c:ptCount val="50"/>
                <c:pt idx="0">
                  <c:v>45</c:v>
                </c:pt>
                <c:pt idx="1">
                  <c:v>46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55</c:v>
                </c:pt>
                <c:pt idx="11">
                  <c:v>56</c:v>
                </c:pt>
                <c:pt idx="12">
                  <c:v>57</c:v>
                </c:pt>
                <c:pt idx="13">
                  <c:v>58</c:v>
                </c:pt>
                <c:pt idx="14">
                  <c:v>59</c:v>
                </c:pt>
                <c:pt idx="15">
                  <c:v>60</c:v>
                </c:pt>
                <c:pt idx="16">
                  <c:v>61</c:v>
                </c:pt>
                <c:pt idx="17">
                  <c:v>62</c:v>
                </c:pt>
                <c:pt idx="18">
                  <c:v>63</c:v>
                </c:pt>
                <c:pt idx="19">
                  <c:v>64</c:v>
                </c:pt>
                <c:pt idx="20">
                  <c:v>65</c:v>
                </c:pt>
                <c:pt idx="21">
                  <c:v>66</c:v>
                </c:pt>
                <c:pt idx="22">
                  <c:v>67</c:v>
                </c:pt>
                <c:pt idx="23">
                  <c:v>68</c:v>
                </c:pt>
                <c:pt idx="24">
                  <c:v>69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75</c:v>
                </c:pt>
                <c:pt idx="31">
                  <c:v>76</c:v>
                </c:pt>
                <c:pt idx="32">
                  <c:v>77</c:v>
                </c:pt>
                <c:pt idx="33">
                  <c:v>78</c:v>
                </c:pt>
                <c:pt idx="34">
                  <c:v>79</c:v>
                </c:pt>
                <c:pt idx="35">
                  <c:v>80</c:v>
                </c:pt>
                <c:pt idx="36">
                  <c:v>81</c:v>
                </c:pt>
                <c:pt idx="37">
                  <c:v>82</c:v>
                </c:pt>
                <c:pt idx="38">
                  <c:v>83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87</c:v>
                </c:pt>
                <c:pt idx="43">
                  <c:v>88</c:v>
                </c:pt>
                <c:pt idx="44">
                  <c:v>89</c:v>
                </c:pt>
                <c:pt idx="45">
                  <c:v>90</c:v>
                </c:pt>
                <c:pt idx="46">
                  <c:v>91</c:v>
                </c:pt>
                <c:pt idx="47">
                  <c:v>92</c:v>
                </c:pt>
                <c:pt idx="48">
                  <c:v>93</c:v>
                </c:pt>
                <c:pt idx="49">
                  <c:v>94</c:v>
                </c:pt>
              </c:numCache>
            </c:numRef>
          </c:cat>
          <c:val>
            <c:numRef>
              <c:f>[0]!v_lcs_r</c:f>
              <c:numCache>
                <c:formatCode>0.00</c:formatCode>
                <c:ptCount val="50"/>
                <c:pt idx="0">
                  <c:v>0.16669859999999992</c:v>
                </c:pt>
                <c:pt idx="1">
                  <c:v>0.16669859999999992</c:v>
                </c:pt>
                <c:pt idx="2">
                  <c:v>0.16669859999999992</c:v>
                </c:pt>
                <c:pt idx="3">
                  <c:v>0.16669859999999992</c:v>
                </c:pt>
                <c:pt idx="4">
                  <c:v>0.16669859999999992</c:v>
                </c:pt>
                <c:pt idx="5">
                  <c:v>0.16669859999999992</c:v>
                </c:pt>
                <c:pt idx="6">
                  <c:v>0.16669859999999992</c:v>
                </c:pt>
                <c:pt idx="7">
                  <c:v>0.16669859999999992</c:v>
                </c:pt>
                <c:pt idx="8">
                  <c:v>0.16669859999999992</c:v>
                </c:pt>
                <c:pt idx="9">
                  <c:v>0.16669859999999992</c:v>
                </c:pt>
                <c:pt idx="10">
                  <c:v>0.16669859999999992</c:v>
                </c:pt>
                <c:pt idx="11">
                  <c:v>0.16669859999999992</c:v>
                </c:pt>
                <c:pt idx="12">
                  <c:v>0.16669859999999992</c:v>
                </c:pt>
                <c:pt idx="13">
                  <c:v>0.16669859999999992</c:v>
                </c:pt>
                <c:pt idx="14">
                  <c:v>0.16669859999999992</c:v>
                </c:pt>
                <c:pt idx="15">
                  <c:v>0.16669859999999992</c:v>
                </c:pt>
                <c:pt idx="16">
                  <c:v>0.16669859999999992</c:v>
                </c:pt>
                <c:pt idx="17">
                  <c:v>0.16669859999999992</c:v>
                </c:pt>
                <c:pt idx="18">
                  <c:v>0.16669859999999992</c:v>
                </c:pt>
                <c:pt idx="19">
                  <c:v>0.16669859999999992</c:v>
                </c:pt>
                <c:pt idx="20">
                  <c:v>0.16669859999999992</c:v>
                </c:pt>
                <c:pt idx="21">
                  <c:v>0.16669859999999992</c:v>
                </c:pt>
                <c:pt idx="22">
                  <c:v>0.16669859999999992</c:v>
                </c:pt>
                <c:pt idx="23">
                  <c:v>0.16669859999999992</c:v>
                </c:pt>
                <c:pt idx="24">
                  <c:v>0.16669859999999992</c:v>
                </c:pt>
                <c:pt idx="25">
                  <c:v>0.16669859999999992</c:v>
                </c:pt>
                <c:pt idx="26">
                  <c:v>0.16669859999999992</c:v>
                </c:pt>
                <c:pt idx="27">
                  <c:v>0.16669859999999992</c:v>
                </c:pt>
                <c:pt idx="28">
                  <c:v>0.16669859999999992</c:v>
                </c:pt>
                <c:pt idx="29">
                  <c:v>0.16669859999999992</c:v>
                </c:pt>
                <c:pt idx="30">
                  <c:v>0.16669859999999992</c:v>
                </c:pt>
                <c:pt idx="31">
                  <c:v>0.16669859999999992</c:v>
                </c:pt>
                <c:pt idx="32">
                  <c:v>0.16669859999999992</c:v>
                </c:pt>
                <c:pt idx="33">
                  <c:v>0.16669859999999992</c:v>
                </c:pt>
                <c:pt idx="34">
                  <c:v>0.16669859999999992</c:v>
                </c:pt>
                <c:pt idx="35">
                  <c:v>0.16669859999999992</c:v>
                </c:pt>
                <c:pt idx="36">
                  <c:v>0.16669859999999992</c:v>
                </c:pt>
                <c:pt idx="37">
                  <c:v>0.16669859999999992</c:v>
                </c:pt>
                <c:pt idx="38">
                  <c:v>0.16669859999999992</c:v>
                </c:pt>
                <c:pt idx="39">
                  <c:v>0.16669859999999992</c:v>
                </c:pt>
                <c:pt idx="40">
                  <c:v>0.16669859999999992</c:v>
                </c:pt>
                <c:pt idx="41">
                  <c:v>0.16669859999999992</c:v>
                </c:pt>
                <c:pt idx="42">
                  <c:v>0.16669859999999992</c:v>
                </c:pt>
                <c:pt idx="43">
                  <c:v>0.16669859999999992</c:v>
                </c:pt>
                <c:pt idx="44">
                  <c:v>0.16669859999999992</c:v>
                </c:pt>
                <c:pt idx="45">
                  <c:v>0.16669859999999992</c:v>
                </c:pt>
                <c:pt idx="46">
                  <c:v>0.16669859999999992</c:v>
                </c:pt>
                <c:pt idx="47">
                  <c:v>0.16669859999999992</c:v>
                </c:pt>
                <c:pt idx="48">
                  <c:v>0.16669859999999992</c:v>
                </c:pt>
                <c:pt idx="49">
                  <c:v>0.16669859999999992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AF-4235-A9E7-216A3011B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0290736"/>
        <c:axId val="1410294576"/>
      </c:lineChart>
      <c:catAx>
        <c:axId val="1410290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410294576"/>
        <c:crosses val="autoZero"/>
        <c:auto val="1"/>
        <c:lblAlgn val="ctr"/>
        <c:lblOffset val="100"/>
        <c:noMultiLvlLbl val="0"/>
      </c:catAx>
      <c:valAx>
        <c:axId val="141029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410290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'Datos Distribucion'!$C$1:$C$31</c:f>
              <c:strCache>
                <c:ptCount val="19"/>
                <c:pt idx="0">
                  <c:v>0.51</c:v>
                </c:pt>
                <c:pt idx="1">
                  <c:v>0.53</c:v>
                </c:pt>
                <c:pt idx="2">
                  <c:v>0.56</c:v>
                </c:pt>
                <c:pt idx="3">
                  <c:v>0.58</c:v>
                </c:pt>
                <c:pt idx="4">
                  <c:v>0.59</c:v>
                </c:pt>
                <c:pt idx="5">
                  <c:v>0.60</c:v>
                </c:pt>
                <c:pt idx="6">
                  <c:v>0.61</c:v>
                </c:pt>
                <c:pt idx="7">
                  <c:v>0.63</c:v>
                </c:pt>
                <c:pt idx="8">
                  <c:v>0.64</c:v>
                </c:pt>
                <c:pt idx="9">
                  <c:v>0.65</c:v>
                </c:pt>
                <c:pt idx="10">
                  <c:v>0.66</c:v>
                </c:pt>
                <c:pt idx="11">
                  <c:v>0.67</c:v>
                </c:pt>
                <c:pt idx="12">
                  <c:v>0.68</c:v>
                </c:pt>
                <c:pt idx="13">
                  <c:v>0.69</c:v>
                </c:pt>
                <c:pt idx="14">
                  <c:v>0.70</c:v>
                </c:pt>
                <c:pt idx="15">
                  <c:v>0.71</c:v>
                </c:pt>
                <c:pt idx="16">
                  <c:v>0.73</c:v>
                </c:pt>
                <c:pt idx="17">
                  <c:v>0.78</c:v>
                </c:pt>
                <c:pt idx="18">
                  <c:v>Total</c:v>
                </c:pt>
              </c:strCache>
            </c:strRef>
          </c:cat>
          <c:val>
            <c:numRef>
              <c:f>[0]!frecuencia</c:f>
              <c:numCache>
                <c:formatCode>0.00</c:formatCode>
                <c:ptCount val="18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6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B2-4FA1-8AB8-2C9E9255F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1096114960"/>
        <c:axId val="1096116400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[0]!espesor2</c:f>
              <c:numCache>
                <c:formatCode>0.00</c:formatCode>
                <c:ptCount val="18"/>
                <c:pt idx="0">
                  <c:v>0.51</c:v>
                </c:pt>
                <c:pt idx="1">
                  <c:v>0.53</c:v>
                </c:pt>
                <c:pt idx="2">
                  <c:v>0.56000000000000005</c:v>
                </c:pt>
                <c:pt idx="3">
                  <c:v>0.57999999999999996</c:v>
                </c:pt>
                <c:pt idx="4">
                  <c:v>0.59</c:v>
                </c:pt>
                <c:pt idx="5">
                  <c:v>0.6</c:v>
                </c:pt>
                <c:pt idx="6">
                  <c:v>0.61</c:v>
                </c:pt>
                <c:pt idx="7">
                  <c:v>0.63</c:v>
                </c:pt>
                <c:pt idx="8">
                  <c:v>0.64</c:v>
                </c:pt>
                <c:pt idx="9">
                  <c:v>0.65</c:v>
                </c:pt>
                <c:pt idx="10">
                  <c:v>0.66</c:v>
                </c:pt>
                <c:pt idx="11">
                  <c:v>0.67</c:v>
                </c:pt>
                <c:pt idx="12">
                  <c:v>0.68</c:v>
                </c:pt>
                <c:pt idx="13">
                  <c:v>0.69</c:v>
                </c:pt>
                <c:pt idx="14">
                  <c:v>0.7</c:v>
                </c:pt>
                <c:pt idx="15">
                  <c:v>0.71</c:v>
                </c:pt>
                <c:pt idx="16">
                  <c:v>0.73</c:v>
                </c:pt>
                <c:pt idx="17">
                  <c:v>0.78</c:v>
                </c:pt>
              </c:numCache>
            </c:numRef>
          </c:cat>
          <c:val>
            <c:numRef>
              <c:f>[0]!frecuencia</c:f>
              <c:numCache>
                <c:formatCode>0.00</c:formatCode>
                <c:ptCount val="18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6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5B2-4FA1-8AB8-2C9E9255F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6114960"/>
        <c:axId val="1096116400"/>
      </c:lineChart>
      <c:catAx>
        <c:axId val="109611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96116400"/>
        <c:crosses val="autoZero"/>
        <c:auto val="1"/>
        <c:lblAlgn val="ctr"/>
        <c:lblOffset val="100"/>
        <c:noMultiLvlLbl val="0"/>
      </c:catAx>
      <c:valAx>
        <c:axId val="109611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9611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Gráfica</a:t>
            </a:r>
            <a:r>
              <a:rPr lang="es-MX" baseline="0"/>
              <a:t> Q-Q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[0]!cuantil_teorico</c:f>
              <c:numCache>
                <c:formatCode>General</c:formatCode>
                <c:ptCount val="50"/>
                <c:pt idx="0">
                  <c:v>-2.0537489106318225</c:v>
                </c:pt>
                <c:pt idx="1">
                  <c:v>-2.0537489106318225</c:v>
                </c:pt>
                <c:pt idx="2">
                  <c:v>-1.554773594596853</c:v>
                </c:pt>
                <c:pt idx="3">
                  <c:v>-1.554773594596853</c:v>
                </c:pt>
                <c:pt idx="4">
                  <c:v>-1.3407550336902161</c:v>
                </c:pt>
                <c:pt idx="5">
                  <c:v>-1.2265281200366105</c:v>
                </c:pt>
                <c:pt idx="6">
                  <c:v>-1.0803193408149565</c:v>
                </c:pt>
                <c:pt idx="7">
                  <c:v>-1.0803193408149565</c:v>
                </c:pt>
                <c:pt idx="8">
                  <c:v>-0.91536508784281501</c:v>
                </c:pt>
                <c:pt idx="9">
                  <c:v>-0.91536508784281501</c:v>
                </c:pt>
                <c:pt idx="10">
                  <c:v>-0.77219321418868503</c:v>
                </c:pt>
                <c:pt idx="11">
                  <c:v>-0.77219321418868503</c:v>
                </c:pt>
                <c:pt idx="12">
                  <c:v>-0.58284150727121631</c:v>
                </c:pt>
                <c:pt idx="13">
                  <c:v>-0.58284150727121631</c:v>
                </c:pt>
                <c:pt idx="14">
                  <c:v>-0.58284150727121631</c:v>
                </c:pt>
                <c:pt idx="15">
                  <c:v>-0.58284150727121631</c:v>
                </c:pt>
                <c:pt idx="16">
                  <c:v>-0.33185334643681658</c:v>
                </c:pt>
                <c:pt idx="17">
                  <c:v>-0.33185334643681658</c:v>
                </c:pt>
                <c:pt idx="18">
                  <c:v>-0.33185334643681658</c:v>
                </c:pt>
                <c:pt idx="19">
                  <c:v>-0.33185334643681658</c:v>
                </c:pt>
                <c:pt idx="20">
                  <c:v>-0.33185334643681658</c:v>
                </c:pt>
                <c:pt idx="21">
                  <c:v>-5.0153583464733656E-2</c:v>
                </c:pt>
                <c:pt idx="22">
                  <c:v>-5.0153583464733656E-2</c:v>
                </c:pt>
                <c:pt idx="23">
                  <c:v>-5.0153583464733656E-2</c:v>
                </c:pt>
                <c:pt idx="24">
                  <c:v>-5.0153583464733656E-2</c:v>
                </c:pt>
                <c:pt idx="25">
                  <c:v>-5.0153583464733656E-2</c:v>
                </c:pt>
                <c:pt idx="26">
                  <c:v>-5.0153583464733656E-2</c:v>
                </c:pt>
                <c:pt idx="27">
                  <c:v>0.25334710313579978</c:v>
                </c:pt>
                <c:pt idx="28">
                  <c:v>0.25334710313579978</c:v>
                </c:pt>
                <c:pt idx="29">
                  <c:v>0.25334710313579978</c:v>
                </c:pt>
                <c:pt idx="30">
                  <c:v>0.25334710313579978</c:v>
                </c:pt>
                <c:pt idx="31">
                  <c:v>0.25334710313579978</c:v>
                </c:pt>
                <c:pt idx="32">
                  <c:v>0.25334710313579978</c:v>
                </c:pt>
                <c:pt idx="33">
                  <c:v>0.49585034734745331</c:v>
                </c:pt>
                <c:pt idx="34">
                  <c:v>0.49585034734745331</c:v>
                </c:pt>
                <c:pt idx="35">
                  <c:v>0.49585034734745331</c:v>
                </c:pt>
                <c:pt idx="36">
                  <c:v>0.67448975019608193</c:v>
                </c:pt>
                <c:pt idx="37">
                  <c:v>0.67448975019608193</c:v>
                </c:pt>
                <c:pt idx="38">
                  <c:v>0.67448975019608193</c:v>
                </c:pt>
                <c:pt idx="39">
                  <c:v>0.87789629505122857</c:v>
                </c:pt>
                <c:pt idx="40">
                  <c:v>0.87789629505122857</c:v>
                </c:pt>
                <c:pt idx="41">
                  <c:v>0.87789629505122857</c:v>
                </c:pt>
                <c:pt idx="42">
                  <c:v>1.1749867920660904</c:v>
                </c:pt>
                <c:pt idx="43">
                  <c:v>1.1749867920660904</c:v>
                </c:pt>
                <c:pt idx="44">
                  <c:v>1.1749867920660904</c:v>
                </c:pt>
                <c:pt idx="45">
                  <c:v>1.1749867920660904</c:v>
                </c:pt>
                <c:pt idx="46">
                  <c:v>1.5547735945968528</c:v>
                </c:pt>
                <c:pt idx="47">
                  <c:v>1.5547735945968528</c:v>
                </c:pt>
                <c:pt idx="48">
                  <c:v>1.8807936081512504</c:v>
                </c:pt>
                <c:pt idx="49">
                  <c:v>2.3263478740408408</c:v>
                </c:pt>
              </c:numCache>
            </c:numRef>
          </c:xVal>
          <c:yVal>
            <c:numRef>
              <c:f>[0]!valor_z</c:f>
              <c:numCache>
                <c:formatCode>General</c:formatCode>
                <c:ptCount val="50"/>
                <c:pt idx="0">
                  <c:v>-2.4643324402487941</c:v>
                </c:pt>
                <c:pt idx="1">
                  <c:v>-2.4643324402487941</c:v>
                </c:pt>
                <c:pt idx="2">
                  <c:v>-2.0992461528045281</c:v>
                </c:pt>
                <c:pt idx="3">
                  <c:v>-2.0992461528045281</c:v>
                </c:pt>
                <c:pt idx="4">
                  <c:v>-1.5516167216381296</c:v>
                </c:pt>
                <c:pt idx="5">
                  <c:v>-1.1865304341938658</c:v>
                </c:pt>
                <c:pt idx="6">
                  <c:v>-1.0039872904717329</c:v>
                </c:pt>
                <c:pt idx="7">
                  <c:v>-1.0039872904717329</c:v>
                </c:pt>
                <c:pt idx="8">
                  <c:v>-0.82144414674959998</c:v>
                </c:pt>
                <c:pt idx="9">
                  <c:v>-0.82144414674959998</c:v>
                </c:pt>
                <c:pt idx="10">
                  <c:v>-0.63890100302746711</c:v>
                </c:pt>
                <c:pt idx="11">
                  <c:v>-0.63890100302746711</c:v>
                </c:pt>
                <c:pt idx="12">
                  <c:v>-0.27381471558320136</c:v>
                </c:pt>
                <c:pt idx="13">
                  <c:v>-0.27381471558320136</c:v>
                </c:pt>
                <c:pt idx="14">
                  <c:v>-0.27381471558320136</c:v>
                </c:pt>
                <c:pt idx="15">
                  <c:v>-0.27381471558320136</c:v>
                </c:pt>
                <c:pt idx="16">
                  <c:v>-9.1271571861068462E-2</c:v>
                </c:pt>
                <c:pt idx="17">
                  <c:v>-9.1271571861068462E-2</c:v>
                </c:pt>
                <c:pt idx="18">
                  <c:v>-9.1271571861068462E-2</c:v>
                </c:pt>
                <c:pt idx="19">
                  <c:v>-9.1271571861068462E-2</c:v>
                </c:pt>
                <c:pt idx="20">
                  <c:v>-9.1271571861068462E-2</c:v>
                </c:pt>
                <c:pt idx="21">
                  <c:v>9.127157186106441E-2</c:v>
                </c:pt>
                <c:pt idx="22">
                  <c:v>9.127157186106441E-2</c:v>
                </c:pt>
                <c:pt idx="23">
                  <c:v>9.127157186106441E-2</c:v>
                </c:pt>
                <c:pt idx="24">
                  <c:v>9.127157186106441E-2</c:v>
                </c:pt>
                <c:pt idx="25">
                  <c:v>9.127157186106441E-2</c:v>
                </c:pt>
                <c:pt idx="26">
                  <c:v>9.127157186106441E-2</c:v>
                </c:pt>
                <c:pt idx="27">
                  <c:v>0.27381471558319731</c:v>
                </c:pt>
                <c:pt idx="28">
                  <c:v>0.27381471558319731</c:v>
                </c:pt>
                <c:pt idx="29">
                  <c:v>0.27381471558319731</c:v>
                </c:pt>
                <c:pt idx="30">
                  <c:v>0.27381471558319731</c:v>
                </c:pt>
                <c:pt idx="31">
                  <c:v>0.27381471558319731</c:v>
                </c:pt>
                <c:pt idx="32">
                  <c:v>0.27381471558319731</c:v>
                </c:pt>
                <c:pt idx="33">
                  <c:v>0.45635785930533018</c:v>
                </c:pt>
                <c:pt idx="34">
                  <c:v>0.45635785930533018</c:v>
                </c:pt>
                <c:pt idx="35">
                  <c:v>0.45635785930533018</c:v>
                </c:pt>
                <c:pt idx="36">
                  <c:v>0.63890100302746311</c:v>
                </c:pt>
                <c:pt idx="37">
                  <c:v>0.63890100302746311</c:v>
                </c:pt>
                <c:pt idx="38">
                  <c:v>0.63890100302746311</c:v>
                </c:pt>
                <c:pt idx="39">
                  <c:v>0.82144414674959387</c:v>
                </c:pt>
                <c:pt idx="40">
                  <c:v>0.82144414674959387</c:v>
                </c:pt>
                <c:pt idx="41">
                  <c:v>0.82144414674959387</c:v>
                </c:pt>
                <c:pt idx="42">
                  <c:v>1.0039872904717269</c:v>
                </c:pt>
                <c:pt idx="43">
                  <c:v>1.0039872904717269</c:v>
                </c:pt>
                <c:pt idx="44">
                  <c:v>1.0039872904717269</c:v>
                </c:pt>
                <c:pt idx="45">
                  <c:v>1.0039872904717269</c:v>
                </c:pt>
                <c:pt idx="46">
                  <c:v>1.1865304341938596</c:v>
                </c:pt>
                <c:pt idx="47">
                  <c:v>1.1865304341938596</c:v>
                </c:pt>
                <c:pt idx="48">
                  <c:v>1.5516167216381254</c:v>
                </c:pt>
                <c:pt idx="49">
                  <c:v>2.4643324402487901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72-42F0-8B67-BCDF5F80A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8736192"/>
        <c:axId val="1388728992"/>
      </c:scatterChart>
      <c:valAx>
        <c:axId val="1388736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88728992"/>
        <c:crossesAt val="-3"/>
        <c:crossBetween val="midCat"/>
      </c:valAx>
      <c:valAx>
        <c:axId val="138872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88736192"/>
        <c:crossesAt val="-3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Control</a:t>
            </a:r>
            <a:r>
              <a:rPr lang="es-MX" baseline="0"/>
              <a:t> de Proceso CPK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Datos!$B$1</c:f>
              <c:strCache>
                <c:ptCount val="1"/>
                <c:pt idx="0">
                  <c:v>MEDICION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[0]!batch</c:f>
              <c:numCache>
                <c:formatCode>General</c:formatCode>
                <c:ptCount val="50"/>
                <c:pt idx="0">
                  <c:v>45</c:v>
                </c:pt>
                <c:pt idx="1">
                  <c:v>46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55</c:v>
                </c:pt>
                <c:pt idx="11">
                  <c:v>56</c:v>
                </c:pt>
                <c:pt idx="12">
                  <c:v>57</c:v>
                </c:pt>
                <c:pt idx="13">
                  <c:v>58</c:v>
                </c:pt>
                <c:pt idx="14">
                  <c:v>59</c:v>
                </c:pt>
                <c:pt idx="15">
                  <c:v>60</c:v>
                </c:pt>
                <c:pt idx="16">
                  <c:v>61</c:v>
                </c:pt>
                <c:pt idx="17">
                  <c:v>62</c:v>
                </c:pt>
                <c:pt idx="18">
                  <c:v>63</c:v>
                </c:pt>
                <c:pt idx="19">
                  <c:v>64</c:v>
                </c:pt>
                <c:pt idx="20">
                  <c:v>65</c:v>
                </c:pt>
                <c:pt idx="21">
                  <c:v>66</c:v>
                </c:pt>
                <c:pt idx="22">
                  <c:v>67</c:v>
                </c:pt>
                <c:pt idx="23">
                  <c:v>68</c:v>
                </c:pt>
                <c:pt idx="24">
                  <c:v>69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75</c:v>
                </c:pt>
                <c:pt idx="31">
                  <c:v>76</c:v>
                </c:pt>
                <c:pt idx="32">
                  <c:v>77</c:v>
                </c:pt>
                <c:pt idx="33">
                  <c:v>78</c:v>
                </c:pt>
                <c:pt idx="34">
                  <c:v>79</c:v>
                </c:pt>
                <c:pt idx="35">
                  <c:v>80</c:v>
                </c:pt>
                <c:pt idx="36">
                  <c:v>81</c:v>
                </c:pt>
                <c:pt idx="37">
                  <c:v>82</c:v>
                </c:pt>
                <c:pt idx="38">
                  <c:v>83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87</c:v>
                </c:pt>
                <c:pt idx="43">
                  <c:v>88</c:v>
                </c:pt>
                <c:pt idx="44">
                  <c:v>89</c:v>
                </c:pt>
                <c:pt idx="45">
                  <c:v>90</c:v>
                </c:pt>
                <c:pt idx="46">
                  <c:v>91</c:v>
                </c:pt>
                <c:pt idx="47">
                  <c:v>92</c:v>
                </c:pt>
                <c:pt idx="48">
                  <c:v>93</c:v>
                </c:pt>
                <c:pt idx="49">
                  <c:v>94</c:v>
                </c:pt>
              </c:numCache>
            </c:numRef>
          </c:cat>
          <c:val>
            <c:numRef>
              <c:f>[0]!espesor</c:f>
              <c:numCache>
                <c:formatCode>General</c:formatCode>
                <c:ptCount val="50"/>
                <c:pt idx="0">
                  <c:v>0.61</c:v>
                </c:pt>
                <c:pt idx="1">
                  <c:v>0.63</c:v>
                </c:pt>
                <c:pt idx="2">
                  <c:v>0.59</c:v>
                </c:pt>
                <c:pt idx="3">
                  <c:v>0.6</c:v>
                </c:pt>
                <c:pt idx="4">
                  <c:v>0.56000000000000005</c:v>
                </c:pt>
                <c:pt idx="5">
                  <c:v>0.57999999999999996</c:v>
                </c:pt>
                <c:pt idx="6">
                  <c:v>0.63</c:v>
                </c:pt>
                <c:pt idx="7">
                  <c:v>0.63</c:v>
                </c:pt>
                <c:pt idx="8">
                  <c:v>0.66</c:v>
                </c:pt>
                <c:pt idx="9">
                  <c:v>0.69</c:v>
                </c:pt>
                <c:pt idx="10">
                  <c:v>0.59</c:v>
                </c:pt>
                <c:pt idx="11">
                  <c:v>0.64</c:v>
                </c:pt>
                <c:pt idx="12">
                  <c:v>0.78</c:v>
                </c:pt>
                <c:pt idx="13">
                  <c:v>0.71</c:v>
                </c:pt>
                <c:pt idx="14">
                  <c:v>0.68</c:v>
                </c:pt>
                <c:pt idx="15">
                  <c:v>0.6</c:v>
                </c:pt>
                <c:pt idx="16">
                  <c:v>0.61</c:v>
                </c:pt>
                <c:pt idx="17">
                  <c:v>0.64</c:v>
                </c:pt>
                <c:pt idx="18">
                  <c:v>0.66</c:v>
                </c:pt>
                <c:pt idx="19">
                  <c:v>0.65</c:v>
                </c:pt>
                <c:pt idx="20">
                  <c:v>0.66</c:v>
                </c:pt>
                <c:pt idx="21">
                  <c:v>0.69</c:v>
                </c:pt>
                <c:pt idx="22">
                  <c:v>0.64</c:v>
                </c:pt>
                <c:pt idx="23">
                  <c:v>0.65</c:v>
                </c:pt>
                <c:pt idx="24">
                  <c:v>0.63</c:v>
                </c:pt>
                <c:pt idx="25">
                  <c:v>0.68</c:v>
                </c:pt>
                <c:pt idx="26">
                  <c:v>0.51</c:v>
                </c:pt>
                <c:pt idx="27">
                  <c:v>0.53</c:v>
                </c:pt>
                <c:pt idx="28">
                  <c:v>0.66</c:v>
                </c:pt>
                <c:pt idx="29">
                  <c:v>0.53</c:v>
                </c:pt>
                <c:pt idx="30">
                  <c:v>0.65</c:v>
                </c:pt>
                <c:pt idx="31">
                  <c:v>0.7</c:v>
                </c:pt>
                <c:pt idx="32">
                  <c:v>0.66</c:v>
                </c:pt>
                <c:pt idx="33">
                  <c:v>0.71</c:v>
                </c:pt>
                <c:pt idx="34">
                  <c:v>0.7</c:v>
                </c:pt>
                <c:pt idx="35">
                  <c:v>0.66</c:v>
                </c:pt>
                <c:pt idx="36">
                  <c:v>0.65</c:v>
                </c:pt>
                <c:pt idx="37">
                  <c:v>0.7</c:v>
                </c:pt>
                <c:pt idx="38">
                  <c:v>0.51</c:v>
                </c:pt>
                <c:pt idx="39">
                  <c:v>0.65</c:v>
                </c:pt>
                <c:pt idx="40">
                  <c:v>0.64</c:v>
                </c:pt>
                <c:pt idx="41">
                  <c:v>0.65</c:v>
                </c:pt>
                <c:pt idx="42">
                  <c:v>0.73</c:v>
                </c:pt>
                <c:pt idx="43">
                  <c:v>0.69</c:v>
                </c:pt>
                <c:pt idx="44">
                  <c:v>0.67</c:v>
                </c:pt>
                <c:pt idx="45">
                  <c:v>0.64</c:v>
                </c:pt>
                <c:pt idx="46">
                  <c:v>0.67</c:v>
                </c:pt>
                <c:pt idx="47">
                  <c:v>0.7</c:v>
                </c:pt>
                <c:pt idx="48">
                  <c:v>0.67</c:v>
                </c:pt>
                <c:pt idx="49">
                  <c:v>0.68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E6-4537-A36B-999450749C24}"/>
            </c:ext>
          </c:extLst>
        </c:ser>
        <c:ser>
          <c:idx val="1"/>
          <c:order val="1"/>
          <c:tx>
            <c:v>MEDIA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[0]!batch</c:f>
              <c:numCache>
                <c:formatCode>General</c:formatCode>
                <c:ptCount val="50"/>
                <c:pt idx="0">
                  <c:v>45</c:v>
                </c:pt>
                <c:pt idx="1">
                  <c:v>46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55</c:v>
                </c:pt>
                <c:pt idx="11">
                  <c:v>56</c:v>
                </c:pt>
                <c:pt idx="12">
                  <c:v>57</c:v>
                </c:pt>
                <c:pt idx="13">
                  <c:v>58</c:v>
                </c:pt>
                <c:pt idx="14">
                  <c:v>59</c:v>
                </c:pt>
                <c:pt idx="15">
                  <c:v>60</c:v>
                </c:pt>
                <c:pt idx="16">
                  <c:v>61</c:v>
                </c:pt>
                <c:pt idx="17">
                  <c:v>62</c:v>
                </c:pt>
                <c:pt idx="18">
                  <c:v>63</c:v>
                </c:pt>
                <c:pt idx="19">
                  <c:v>64</c:v>
                </c:pt>
                <c:pt idx="20">
                  <c:v>65</c:v>
                </c:pt>
                <c:pt idx="21">
                  <c:v>66</c:v>
                </c:pt>
                <c:pt idx="22">
                  <c:v>67</c:v>
                </c:pt>
                <c:pt idx="23">
                  <c:v>68</c:v>
                </c:pt>
                <c:pt idx="24">
                  <c:v>69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75</c:v>
                </c:pt>
                <c:pt idx="31">
                  <c:v>76</c:v>
                </c:pt>
                <c:pt idx="32">
                  <c:v>77</c:v>
                </c:pt>
                <c:pt idx="33">
                  <c:v>78</c:v>
                </c:pt>
                <c:pt idx="34">
                  <c:v>79</c:v>
                </c:pt>
                <c:pt idx="35">
                  <c:v>80</c:v>
                </c:pt>
                <c:pt idx="36">
                  <c:v>81</c:v>
                </c:pt>
                <c:pt idx="37">
                  <c:v>82</c:v>
                </c:pt>
                <c:pt idx="38">
                  <c:v>83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87</c:v>
                </c:pt>
                <c:pt idx="43">
                  <c:v>88</c:v>
                </c:pt>
                <c:pt idx="44">
                  <c:v>89</c:v>
                </c:pt>
                <c:pt idx="45">
                  <c:v>90</c:v>
                </c:pt>
                <c:pt idx="46">
                  <c:v>91</c:v>
                </c:pt>
                <c:pt idx="47">
                  <c:v>92</c:v>
                </c:pt>
                <c:pt idx="48">
                  <c:v>93</c:v>
                </c:pt>
                <c:pt idx="49">
                  <c:v>94</c:v>
                </c:pt>
              </c:numCache>
            </c:numRef>
          </c:cat>
          <c:val>
            <c:numRef>
              <c:f>[0]!v_i_media</c:f>
              <c:numCache>
                <c:formatCode>0.00</c:formatCode>
                <c:ptCount val="50"/>
                <c:pt idx="0">
                  <c:v>0.64500000000000013</c:v>
                </c:pt>
                <c:pt idx="1">
                  <c:v>0.64500000000000013</c:v>
                </c:pt>
                <c:pt idx="2">
                  <c:v>0.64500000000000013</c:v>
                </c:pt>
                <c:pt idx="3">
                  <c:v>0.64500000000000013</c:v>
                </c:pt>
                <c:pt idx="4">
                  <c:v>0.64500000000000013</c:v>
                </c:pt>
                <c:pt idx="5">
                  <c:v>0.64500000000000013</c:v>
                </c:pt>
                <c:pt idx="6">
                  <c:v>0.64500000000000013</c:v>
                </c:pt>
                <c:pt idx="7">
                  <c:v>0.64500000000000013</c:v>
                </c:pt>
                <c:pt idx="8">
                  <c:v>0.64500000000000013</c:v>
                </c:pt>
                <c:pt idx="9">
                  <c:v>0.64500000000000013</c:v>
                </c:pt>
                <c:pt idx="10">
                  <c:v>0.64500000000000013</c:v>
                </c:pt>
                <c:pt idx="11">
                  <c:v>0.64500000000000013</c:v>
                </c:pt>
                <c:pt idx="12">
                  <c:v>0.64500000000000013</c:v>
                </c:pt>
                <c:pt idx="13">
                  <c:v>0.64500000000000013</c:v>
                </c:pt>
                <c:pt idx="14">
                  <c:v>0.64500000000000013</c:v>
                </c:pt>
                <c:pt idx="15">
                  <c:v>0.64500000000000013</c:v>
                </c:pt>
                <c:pt idx="16">
                  <c:v>0.64500000000000013</c:v>
                </c:pt>
                <c:pt idx="17">
                  <c:v>0.64500000000000013</c:v>
                </c:pt>
                <c:pt idx="18">
                  <c:v>0.64500000000000013</c:v>
                </c:pt>
                <c:pt idx="19">
                  <c:v>0.64500000000000013</c:v>
                </c:pt>
                <c:pt idx="20">
                  <c:v>0.64500000000000013</c:v>
                </c:pt>
                <c:pt idx="21">
                  <c:v>0.64500000000000013</c:v>
                </c:pt>
                <c:pt idx="22">
                  <c:v>0.64500000000000013</c:v>
                </c:pt>
                <c:pt idx="23">
                  <c:v>0.64500000000000013</c:v>
                </c:pt>
                <c:pt idx="24">
                  <c:v>0.64500000000000013</c:v>
                </c:pt>
                <c:pt idx="25">
                  <c:v>0.64500000000000013</c:v>
                </c:pt>
                <c:pt idx="26">
                  <c:v>0.64500000000000013</c:v>
                </c:pt>
                <c:pt idx="27">
                  <c:v>0.64500000000000013</c:v>
                </c:pt>
                <c:pt idx="28">
                  <c:v>0.64500000000000013</c:v>
                </c:pt>
                <c:pt idx="29">
                  <c:v>0.64500000000000013</c:v>
                </c:pt>
                <c:pt idx="30">
                  <c:v>0.64500000000000013</c:v>
                </c:pt>
                <c:pt idx="31">
                  <c:v>0.64500000000000013</c:v>
                </c:pt>
                <c:pt idx="32">
                  <c:v>0.64500000000000013</c:v>
                </c:pt>
                <c:pt idx="33">
                  <c:v>0.64500000000000013</c:v>
                </c:pt>
                <c:pt idx="34">
                  <c:v>0.64500000000000013</c:v>
                </c:pt>
                <c:pt idx="35">
                  <c:v>0.64500000000000013</c:v>
                </c:pt>
                <c:pt idx="36">
                  <c:v>0.64500000000000013</c:v>
                </c:pt>
                <c:pt idx="37">
                  <c:v>0.64500000000000013</c:v>
                </c:pt>
                <c:pt idx="38">
                  <c:v>0.64500000000000013</c:v>
                </c:pt>
                <c:pt idx="39">
                  <c:v>0.64500000000000013</c:v>
                </c:pt>
                <c:pt idx="40">
                  <c:v>0.64500000000000013</c:v>
                </c:pt>
                <c:pt idx="41">
                  <c:v>0.64500000000000013</c:v>
                </c:pt>
                <c:pt idx="42">
                  <c:v>0.64500000000000013</c:v>
                </c:pt>
                <c:pt idx="43">
                  <c:v>0.64500000000000013</c:v>
                </c:pt>
                <c:pt idx="44">
                  <c:v>0.64500000000000013</c:v>
                </c:pt>
                <c:pt idx="45">
                  <c:v>0.64500000000000013</c:v>
                </c:pt>
                <c:pt idx="46">
                  <c:v>0.64500000000000013</c:v>
                </c:pt>
                <c:pt idx="47">
                  <c:v>0.64500000000000013</c:v>
                </c:pt>
                <c:pt idx="48">
                  <c:v>0.64500000000000013</c:v>
                </c:pt>
                <c:pt idx="49">
                  <c:v>0.64500000000000013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6-4537-A36B-999450749C24}"/>
            </c:ext>
          </c:extLst>
        </c:ser>
        <c:ser>
          <c:idx val="3"/>
          <c:order val="2"/>
          <c:tx>
            <c:strRef>
              <c:f>Datos!$J$1</c:f>
              <c:strCache>
                <c:ptCount val="1"/>
                <c:pt idx="0">
                  <c:v>L.S.E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[0]!batch</c:f>
              <c:numCache>
                <c:formatCode>General</c:formatCode>
                <c:ptCount val="50"/>
                <c:pt idx="0">
                  <c:v>45</c:v>
                </c:pt>
                <c:pt idx="1">
                  <c:v>46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55</c:v>
                </c:pt>
                <c:pt idx="11">
                  <c:v>56</c:v>
                </c:pt>
                <c:pt idx="12">
                  <c:v>57</c:v>
                </c:pt>
                <c:pt idx="13">
                  <c:v>58</c:v>
                </c:pt>
                <c:pt idx="14">
                  <c:v>59</c:v>
                </c:pt>
                <c:pt idx="15">
                  <c:v>60</c:v>
                </c:pt>
                <c:pt idx="16">
                  <c:v>61</c:v>
                </c:pt>
                <c:pt idx="17">
                  <c:v>62</c:v>
                </c:pt>
                <c:pt idx="18">
                  <c:v>63</c:v>
                </c:pt>
                <c:pt idx="19">
                  <c:v>64</c:v>
                </c:pt>
                <c:pt idx="20">
                  <c:v>65</c:v>
                </c:pt>
                <c:pt idx="21">
                  <c:v>66</c:v>
                </c:pt>
                <c:pt idx="22">
                  <c:v>67</c:v>
                </c:pt>
                <c:pt idx="23">
                  <c:v>68</c:v>
                </c:pt>
                <c:pt idx="24">
                  <c:v>69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75</c:v>
                </c:pt>
                <c:pt idx="31">
                  <c:v>76</c:v>
                </c:pt>
                <c:pt idx="32">
                  <c:v>77</c:v>
                </c:pt>
                <c:pt idx="33">
                  <c:v>78</c:v>
                </c:pt>
                <c:pt idx="34">
                  <c:v>79</c:v>
                </c:pt>
                <c:pt idx="35">
                  <c:v>80</c:v>
                </c:pt>
                <c:pt idx="36">
                  <c:v>81</c:v>
                </c:pt>
                <c:pt idx="37">
                  <c:v>82</c:v>
                </c:pt>
                <c:pt idx="38">
                  <c:v>83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87</c:v>
                </c:pt>
                <c:pt idx="43">
                  <c:v>88</c:v>
                </c:pt>
                <c:pt idx="44">
                  <c:v>89</c:v>
                </c:pt>
                <c:pt idx="45">
                  <c:v>90</c:v>
                </c:pt>
                <c:pt idx="46">
                  <c:v>91</c:v>
                </c:pt>
                <c:pt idx="47">
                  <c:v>92</c:v>
                </c:pt>
                <c:pt idx="48">
                  <c:v>93</c:v>
                </c:pt>
                <c:pt idx="49">
                  <c:v>94</c:v>
                </c:pt>
              </c:numCache>
            </c:numRef>
          </c:cat>
          <c:val>
            <c:numRef>
              <c:f>[0]!LSE</c:f>
              <c:numCache>
                <c:formatCode>0</c:formatCode>
                <c:ptCount val="5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5E6-4537-A36B-999450749C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2727664"/>
        <c:axId val="1732728624"/>
      </c:lineChart>
      <c:catAx>
        <c:axId val="1732727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32728624"/>
        <c:crosses val="autoZero"/>
        <c:auto val="1"/>
        <c:lblAlgn val="ctr"/>
        <c:lblOffset val="100"/>
        <c:noMultiLvlLbl val="0"/>
      </c:catAx>
      <c:valAx>
        <c:axId val="173272862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32727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2540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[0]!cuantil_teorico</c:f>
              <c:numCache>
                <c:formatCode>General</c:formatCode>
                <c:ptCount val="50"/>
                <c:pt idx="0">
                  <c:v>-2.0537489106318225</c:v>
                </c:pt>
                <c:pt idx="1">
                  <c:v>-2.0537489106318225</c:v>
                </c:pt>
                <c:pt idx="2">
                  <c:v>-1.554773594596853</c:v>
                </c:pt>
                <c:pt idx="3">
                  <c:v>-1.554773594596853</c:v>
                </c:pt>
                <c:pt idx="4">
                  <c:v>-1.3407550336902161</c:v>
                </c:pt>
                <c:pt idx="5">
                  <c:v>-1.2265281200366105</c:v>
                </c:pt>
                <c:pt idx="6">
                  <c:v>-1.0803193408149565</c:v>
                </c:pt>
                <c:pt idx="7">
                  <c:v>-1.0803193408149565</c:v>
                </c:pt>
                <c:pt idx="8">
                  <c:v>-0.91536508784281501</c:v>
                </c:pt>
                <c:pt idx="9">
                  <c:v>-0.91536508784281501</c:v>
                </c:pt>
                <c:pt idx="10">
                  <c:v>-0.77219321418868503</c:v>
                </c:pt>
                <c:pt idx="11">
                  <c:v>-0.77219321418868503</c:v>
                </c:pt>
                <c:pt idx="12">
                  <c:v>-0.58284150727121631</c:v>
                </c:pt>
                <c:pt idx="13">
                  <c:v>-0.58284150727121631</c:v>
                </c:pt>
                <c:pt idx="14">
                  <c:v>-0.58284150727121631</c:v>
                </c:pt>
                <c:pt idx="15">
                  <c:v>-0.58284150727121631</c:v>
                </c:pt>
                <c:pt idx="16">
                  <c:v>-0.33185334643681658</c:v>
                </c:pt>
                <c:pt idx="17">
                  <c:v>-0.33185334643681658</c:v>
                </c:pt>
                <c:pt idx="18">
                  <c:v>-0.33185334643681658</c:v>
                </c:pt>
                <c:pt idx="19">
                  <c:v>-0.33185334643681658</c:v>
                </c:pt>
                <c:pt idx="20">
                  <c:v>-0.33185334643681658</c:v>
                </c:pt>
                <c:pt idx="21">
                  <c:v>-5.0153583464733656E-2</c:v>
                </c:pt>
                <c:pt idx="22">
                  <c:v>-5.0153583464733656E-2</c:v>
                </c:pt>
                <c:pt idx="23">
                  <c:v>-5.0153583464733656E-2</c:v>
                </c:pt>
                <c:pt idx="24">
                  <c:v>-5.0153583464733656E-2</c:v>
                </c:pt>
                <c:pt idx="25">
                  <c:v>-5.0153583464733656E-2</c:v>
                </c:pt>
                <c:pt idx="26">
                  <c:v>-5.0153583464733656E-2</c:v>
                </c:pt>
                <c:pt idx="27">
                  <c:v>0.25334710313579978</c:v>
                </c:pt>
                <c:pt idx="28">
                  <c:v>0.25334710313579978</c:v>
                </c:pt>
                <c:pt idx="29">
                  <c:v>0.25334710313579978</c:v>
                </c:pt>
                <c:pt idx="30">
                  <c:v>0.25334710313579978</c:v>
                </c:pt>
                <c:pt idx="31">
                  <c:v>0.25334710313579978</c:v>
                </c:pt>
                <c:pt idx="32">
                  <c:v>0.25334710313579978</c:v>
                </c:pt>
                <c:pt idx="33">
                  <c:v>0.49585034734745331</c:v>
                </c:pt>
                <c:pt idx="34">
                  <c:v>0.49585034734745331</c:v>
                </c:pt>
                <c:pt idx="35">
                  <c:v>0.49585034734745331</c:v>
                </c:pt>
                <c:pt idx="36">
                  <c:v>0.67448975019608193</c:v>
                </c:pt>
                <c:pt idx="37">
                  <c:v>0.67448975019608193</c:v>
                </c:pt>
                <c:pt idx="38">
                  <c:v>0.67448975019608193</c:v>
                </c:pt>
                <c:pt idx="39">
                  <c:v>0.87789629505122857</c:v>
                </c:pt>
                <c:pt idx="40">
                  <c:v>0.87789629505122857</c:v>
                </c:pt>
                <c:pt idx="41">
                  <c:v>0.87789629505122857</c:v>
                </c:pt>
                <c:pt idx="42">
                  <c:v>1.1749867920660904</c:v>
                </c:pt>
                <c:pt idx="43">
                  <c:v>1.1749867920660904</c:v>
                </c:pt>
                <c:pt idx="44">
                  <c:v>1.1749867920660904</c:v>
                </c:pt>
                <c:pt idx="45">
                  <c:v>1.1749867920660904</c:v>
                </c:pt>
                <c:pt idx="46">
                  <c:v>1.5547735945968528</c:v>
                </c:pt>
                <c:pt idx="47">
                  <c:v>1.5547735945968528</c:v>
                </c:pt>
                <c:pt idx="48">
                  <c:v>1.8807936081512504</c:v>
                </c:pt>
                <c:pt idx="49">
                  <c:v>2.3263478740408408</c:v>
                </c:pt>
              </c:numCache>
            </c:numRef>
          </c:xVal>
          <c:yVal>
            <c:numRef>
              <c:f>[0]!valor_z</c:f>
              <c:numCache>
                <c:formatCode>General</c:formatCode>
                <c:ptCount val="50"/>
                <c:pt idx="0">
                  <c:v>-2.4643324402487941</c:v>
                </c:pt>
                <c:pt idx="1">
                  <c:v>-2.4643324402487941</c:v>
                </c:pt>
                <c:pt idx="2">
                  <c:v>-2.0992461528045281</c:v>
                </c:pt>
                <c:pt idx="3">
                  <c:v>-2.0992461528045281</c:v>
                </c:pt>
                <c:pt idx="4">
                  <c:v>-1.5516167216381296</c:v>
                </c:pt>
                <c:pt idx="5">
                  <c:v>-1.1865304341938658</c:v>
                </c:pt>
                <c:pt idx="6">
                  <c:v>-1.0039872904717329</c:v>
                </c:pt>
                <c:pt idx="7">
                  <c:v>-1.0039872904717329</c:v>
                </c:pt>
                <c:pt idx="8">
                  <c:v>-0.82144414674959998</c:v>
                </c:pt>
                <c:pt idx="9">
                  <c:v>-0.82144414674959998</c:v>
                </c:pt>
                <c:pt idx="10">
                  <c:v>-0.63890100302746711</c:v>
                </c:pt>
                <c:pt idx="11">
                  <c:v>-0.63890100302746711</c:v>
                </c:pt>
                <c:pt idx="12">
                  <c:v>-0.27381471558320136</c:v>
                </c:pt>
                <c:pt idx="13">
                  <c:v>-0.27381471558320136</c:v>
                </c:pt>
                <c:pt idx="14">
                  <c:v>-0.27381471558320136</c:v>
                </c:pt>
                <c:pt idx="15">
                  <c:v>-0.27381471558320136</c:v>
                </c:pt>
                <c:pt idx="16">
                  <c:v>-9.1271571861068462E-2</c:v>
                </c:pt>
                <c:pt idx="17">
                  <c:v>-9.1271571861068462E-2</c:v>
                </c:pt>
                <c:pt idx="18">
                  <c:v>-9.1271571861068462E-2</c:v>
                </c:pt>
                <c:pt idx="19">
                  <c:v>-9.1271571861068462E-2</c:v>
                </c:pt>
                <c:pt idx="20">
                  <c:v>-9.1271571861068462E-2</c:v>
                </c:pt>
                <c:pt idx="21">
                  <c:v>9.127157186106441E-2</c:v>
                </c:pt>
                <c:pt idx="22">
                  <c:v>9.127157186106441E-2</c:v>
                </c:pt>
                <c:pt idx="23">
                  <c:v>9.127157186106441E-2</c:v>
                </c:pt>
                <c:pt idx="24">
                  <c:v>9.127157186106441E-2</c:v>
                </c:pt>
                <c:pt idx="25">
                  <c:v>9.127157186106441E-2</c:v>
                </c:pt>
                <c:pt idx="26">
                  <c:v>9.127157186106441E-2</c:v>
                </c:pt>
                <c:pt idx="27">
                  <c:v>0.27381471558319731</c:v>
                </c:pt>
                <c:pt idx="28">
                  <c:v>0.27381471558319731</c:v>
                </c:pt>
                <c:pt idx="29">
                  <c:v>0.27381471558319731</c:v>
                </c:pt>
                <c:pt idx="30">
                  <c:v>0.27381471558319731</c:v>
                </c:pt>
                <c:pt idx="31">
                  <c:v>0.27381471558319731</c:v>
                </c:pt>
                <c:pt idx="32">
                  <c:v>0.27381471558319731</c:v>
                </c:pt>
                <c:pt idx="33">
                  <c:v>0.45635785930533018</c:v>
                </c:pt>
                <c:pt idx="34">
                  <c:v>0.45635785930533018</c:v>
                </c:pt>
                <c:pt idx="35">
                  <c:v>0.45635785930533018</c:v>
                </c:pt>
                <c:pt idx="36">
                  <c:v>0.63890100302746311</c:v>
                </c:pt>
                <c:pt idx="37">
                  <c:v>0.63890100302746311</c:v>
                </c:pt>
                <c:pt idx="38">
                  <c:v>0.63890100302746311</c:v>
                </c:pt>
                <c:pt idx="39">
                  <c:v>0.82144414674959387</c:v>
                </c:pt>
                <c:pt idx="40">
                  <c:v>0.82144414674959387</c:v>
                </c:pt>
                <c:pt idx="41">
                  <c:v>0.82144414674959387</c:v>
                </c:pt>
                <c:pt idx="42">
                  <c:v>1.0039872904717269</c:v>
                </c:pt>
                <c:pt idx="43">
                  <c:v>1.0039872904717269</c:v>
                </c:pt>
                <c:pt idx="44">
                  <c:v>1.0039872904717269</c:v>
                </c:pt>
                <c:pt idx="45">
                  <c:v>1.0039872904717269</c:v>
                </c:pt>
                <c:pt idx="46">
                  <c:v>1.1865304341938596</c:v>
                </c:pt>
                <c:pt idx="47">
                  <c:v>1.1865304341938596</c:v>
                </c:pt>
                <c:pt idx="48">
                  <c:v>1.5516167216381254</c:v>
                </c:pt>
                <c:pt idx="49">
                  <c:v>2.4643324402487901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4A-4E60-A581-B8D6569C2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8736192"/>
        <c:axId val="1388728992"/>
      </c:scatterChart>
      <c:valAx>
        <c:axId val="1388736192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88728992"/>
        <c:crossesAt val="-3"/>
        <c:crossBetween val="midCat"/>
      </c:valAx>
      <c:valAx>
        <c:axId val="138872899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88736192"/>
        <c:crossesAt val="-3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Datos!$B$1</c:f>
              <c:strCache>
                <c:ptCount val="1"/>
                <c:pt idx="0">
                  <c:v>MEDICION</c:v>
                </c:pt>
              </c:strCache>
            </c:strRef>
          </c:tx>
          <c:spPr>
            <a:ln w="22225" cap="rnd" cmpd="sng" algn="ctr">
              <a:solidFill>
                <a:srgbClr val="FF0D0D"/>
              </a:solidFill>
              <a:round/>
            </a:ln>
            <a:effectLst/>
          </c:spPr>
          <c:marker>
            <c:symbol val="none"/>
          </c:marker>
          <c:cat>
            <c:numRef>
              <c:f>[0]!batch</c:f>
              <c:numCache>
                <c:formatCode>General</c:formatCode>
                <c:ptCount val="50"/>
                <c:pt idx="0">
                  <c:v>45</c:v>
                </c:pt>
                <c:pt idx="1">
                  <c:v>46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55</c:v>
                </c:pt>
                <c:pt idx="11">
                  <c:v>56</c:v>
                </c:pt>
                <c:pt idx="12">
                  <c:v>57</c:v>
                </c:pt>
                <c:pt idx="13">
                  <c:v>58</c:v>
                </c:pt>
                <c:pt idx="14">
                  <c:v>59</c:v>
                </c:pt>
                <c:pt idx="15">
                  <c:v>60</c:v>
                </c:pt>
                <c:pt idx="16">
                  <c:v>61</c:v>
                </c:pt>
                <c:pt idx="17">
                  <c:v>62</c:v>
                </c:pt>
                <c:pt idx="18">
                  <c:v>63</c:v>
                </c:pt>
                <c:pt idx="19">
                  <c:v>64</c:v>
                </c:pt>
                <c:pt idx="20">
                  <c:v>65</c:v>
                </c:pt>
                <c:pt idx="21">
                  <c:v>66</c:v>
                </c:pt>
                <c:pt idx="22">
                  <c:v>67</c:v>
                </c:pt>
                <c:pt idx="23">
                  <c:v>68</c:v>
                </c:pt>
                <c:pt idx="24">
                  <c:v>69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75</c:v>
                </c:pt>
                <c:pt idx="31">
                  <c:v>76</c:v>
                </c:pt>
                <c:pt idx="32">
                  <c:v>77</c:v>
                </c:pt>
                <c:pt idx="33">
                  <c:v>78</c:v>
                </c:pt>
                <c:pt idx="34">
                  <c:v>79</c:v>
                </c:pt>
                <c:pt idx="35">
                  <c:v>80</c:v>
                </c:pt>
                <c:pt idx="36">
                  <c:v>81</c:v>
                </c:pt>
                <c:pt idx="37">
                  <c:v>82</c:v>
                </c:pt>
                <c:pt idx="38">
                  <c:v>83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87</c:v>
                </c:pt>
                <c:pt idx="43">
                  <c:v>88</c:v>
                </c:pt>
                <c:pt idx="44">
                  <c:v>89</c:v>
                </c:pt>
                <c:pt idx="45">
                  <c:v>90</c:v>
                </c:pt>
                <c:pt idx="46">
                  <c:v>91</c:v>
                </c:pt>
                <c:pt idx="47">
                  <c:v>92</c:v>
                </c:pt>
                <c:pt idx="48">
                  <c:v>93</c:v>
                </c:pt>
                <c:pt idx="49">
                  <c:v>94</c:v>
                </c:pt>
              </c:numCache>
            </c:numRef>
          </c:cat>
          <c:val>
            <c:numRef>
              <c:f>[0]!espesor</c:f>
              <c:numCache>
                <c:formatCode>General</c:formatCode>
                <c:ptCount val="50"/>
                <c:pt idx="0">
                  <c:v>0.61</c:v>
                </c:pt>
                <c:pt idx="1">
                  <c:v>0.63</c:v>
                </c:pt>
                <c:pt idx="2">
                  <c:v>0.59</c:v>
                </c:pt>
                <c:pt idx="3">
                  <c:v>0.6</c:v>
                </c:pt>
                <c:pt idx="4">
                  <c:v>0.56000000000000005</c:v>
                </c:pt>
                <c:pt idx="5">
                  <c:v>0.57999999999999996</c:v>
                </c:pt>
                <c:pt idx="6">
                  <c:v>0.63</c:v>
                </c:pt>
                <c:pt idx="7">
                  <c:v>0.63</c:v>
                </c:pt>
                <c:pt idx="8">
                  <c:v>0.66</c:v>
                </c:pt>
                <c:pt idx="9">
                  <c:v>0.69</c:v>
                </c:pt>
                <c:pt idx="10">
                  <c:v>0.59</c:v>
                </c:pt>
                <c:pt idx="11">
                  <c:v>0.64</c:v>
                </c:pt>
                <c:pt idx="12">
                  <c:v>0.78</c:v>
                </c:pt>
                <c:pt idx="13">
                  <c:v>0.71</c:v>
                </c:pt>
                <c:pt idx="14">
                  <c:v>0.68</c:v>
                </c:pt>
                <c:pt idx="15">
                  <c:v>0.6</c:v>
                </c:pt>
                <c:pt idx="16">
                  <c:v>0.61</c:v>
                </c:pt>
                <c:pt idx="17">
                  <c:v>0.64</c:v>
                </c:pt>
                <c:pt idx="18">
                  <c:v>0.66</c:v>
                </c:pt>
                <c:pt idx="19">
                  <c:v>0.65</c:v>
                </c:pt>
                <c:pt idx="20">
                  <c:v>0.66</c:v>
                </c:pt>
                <c:pt idx="21">
                  <c:v>0.69</c:v>
                </c:pt>
                <c:pt idx="22">
                  <c:v>0.64</c:v>
                </c:pt>
                <c:pt idx="23">
                  <c:v>0.65</c:v>
                </c:pt>
                <c:pt idx="24">
                  <c:v>0.63</c:v>
                </c:pt>
                <c:pt idx="25">
                  <c:v>0.68</c:v>
                </c:pt>
                <c:pt idx="26">
                  <c:v>0.51</c:v>
                </c:pt>
                <c:pt idx="27">
                  <c:v>0.53</c:v>
                </c:pt>
                <c:pt idx="28">
                  <c:v>0.66</c:v>
                </c:pt>
                <c:pt idx="29">
                  <c:v>0.53</c:v>
                </c:pt>
                <c:pt idx="30">
                  <c:v>0.65</c:v>
                </c:pt>
                <c:pt idx="31">
                  <c:v>0.7</c:v>
                </c:pt>
                <c:pt idx="32">
                  <c:v>0.66</c:v>
                </c:pt>
                <c:pt idx="33">
                  <c:v>0.71</c:v>
                </c:pt>
                <c:pt idx="34">
                  <c:v>0.7</c:v>
                </c:pt>
                <c:pt idx="35">
                  <c:v>0.66</c:v>
                </c:pt>
                <c:pt idx="36">
                  <c:v>0.65</c:v>
                </c:pt>
                <c:pt idx="37">
                  <c:v>0.7</c:v>
                </c:pt>
                <c:pt idx="38">
                  <c:v>0.51</c:v>
                </c:pt>
                <c:pt idx="39">
                  <c:v>0.65</c:v>
                </c:pt>
                <c:pt idx="40">
                  <c:v>0.64</c:v>
                </c:pt>
                <c:pt idx="41">
                  <c:v>0.65</c:v>
                </c:pt>
                <c:pt idx="42">
                  <c:v>0.73</c:v>
                </c:pt>
                <c:pt idx="43">
                  <c:v>0.69</c:v>
                </c:pt>
                <c:pt idx="44">
                  <c:v>0.67</c:v>
                </c:pt>
                <c:pt idx="45">
                  <c:v>0.64</c:v>
                </c:pt>
                <c:pt idx="46">
                  <c:v>0.67</c:v>
                </c:pt>
                <c:pt idx="47">
                  <c:v>0.7</c:v>
                </c:pt>
                <c:pt idx="48">
                  <c:v>0.67</c:v>
                </c:pt>
                <c:pt idx="49">
                  <c:v>0.68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00-4C52-9FFA-F70ABF9D153C}"/>
            </c:ext>
          </c:extLst>
        </c:ser>
        <c:ser>
          <c:idx val="1"/>
          <c:order val="1"/>
          <c:tx>
            <c:strRef>
              <c:f>Datos!$C$1</c:f>
              <c:strCache>
                <c:ptCount val="1"/>
                <c:pt idx="0">
                  <c:v>LCI</c:v>
                </c:pt>
              </c:strCache>
            </c:strRef>
          </c:tx>
          <c:spPr>
            <a:ln w="22225" cap="rnd" cmpd="sng" algn="ctr">
              <a:solidFill>
                <a:schemeClr val="tx1">
                  <a:lumMod val="50000"/>
                  <a:lumOff val="50000"/>
                </a:schemeClr>
              </a:solidFill>
              <a:prstDash val="dashDot"/>
              <a:round/>
            </a:ln>
            <a:effectLst/>
          </c:spPr>
          <c:marker>
            <c:symbol val="none"/>
          </c:marker>
          <c:cat>
            <c:numRef>
              <c:f>[0]!batch</c:f>
              <c:numCache>
                <c:formatCode>General</c:formatCode>
                <c:ptCount val="50"/>
                <c:pt idx="0">
                  <c:v>45</c:v>
                </c:pt>
                <c:pt idx="1">
                  <c:v>46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55</c:v>
                </c:pt>
                <c:pt idx="11">
                  <c:v>56</c:v>
                </c:pt>
                <c:pt idx="12">
                  <c:v>57</c:v>
                </c:pt>
                <c:pt idx="13">
                  <c:v>58</c:v>
                </c:pt>
                <c:pt idx="14">
                  <c:v>59</c:v>
                </c:pt>
                <c:pt idx="15">
                  <c:v>60</c:v>
                </c:pt>
                <c:pt idx="16">
                  <c:v>61</c:v>
                </c:pt>
                <c:pt idx="17">
                  <c:v>62</c:v>
                </c:pt>
                <c:pt idx="18">
                  <c:v>63</c:v>
                </c:pt>
                <c:pt idx="19">
                  <c:v>64</c:v>
                </c:pt>
                <c:pt idx="20">
                  <c:v>65</c:v>
                </c:pt>
                <c:pt idx="21">
                  <c:v>66</c:v>
                </c:pt>
                <c:pt idx="22">
                  <c:v>67</c:v>
                </c:pt>
                <c:pt idx="23">
                  <c:v>68</c:v>
                </c:pt>
                <c:pt idx="24">
                  <c:v>69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75</c:v>
                </c:pt>
                <c:pt idx="31">
                  <c:v>76</c:v>
                </c:pt>
                <c:pt idx="32">
                  <c:v>77</c:v>
                </c:pt>
                <c:pt idx="33">
                  <c:v>78</c:v>
                </c:pt>
                <c:pt idx="34">
                  <c:v>79</c:v>
                </c:pt>
                <c:pt idx="35">
                  <c:v>80</c:v>
                </c:pt>
                <c:pt idx="36">
                  <c:v>81</c:v>
                </c:pt>
                <c:pt idx="37">
                  <c:v>82</c:v>
                </c:pt>
                <c:pt idx="38">
                  <c:v>83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87</c:v>
                </c:pt>
                <c:pt idx="43">
                  <c:v>88</c:v>
                </c:pt>
                <c:pt idx="44">
                  <c:v>89</c:v>
                </c:pt>
                <c:pt idx="45">
                  <c:v>90</c:v>
                </c:pt>
                <c:pt idx="46">
                  <c:v>91</c:v>
                </c:pt>
                <c:pt idx="47">
                  <c:v>92</c:v>
                </c:pt>
                <c:pt idx="48">
                  <c:v>93</c:v>
                </c:pt>
                <c:pt idx="49">
                  <c:v>94</c:v>
                </c:pt>
              </c:numCache>
            </c:numRef>
          </c:cat>
          <c:val>
            <c:numRef>
              <c:f>[0]!v_i_lci</c:f>
              <c:numCache>
                <c:formatCode>0.00</c:formatCode>
                <c:ptCount val="50"/>
                <c:pt idx="0">
                  <c:v>0.50936170212765974</c:v>
                </c:pt>
                <c:pt idx="1">
                  <c:v>0.50936170212765974</c:v>
                </c:pt>
                <c:pt idx="2">
                  <c:v>0.50936170212765974</c:v>
                </c:pt>
                <c:pt idx="3">
                  <c:v>0.50936170212765974</c:v>
                </c:pt>
                <c:pt idx="4">
                  <c:v>0.50936170212765974</c:v>
                </c:pt>
                <c:pt idx="5">
                  <c:v>0.50936170212765974</c:v>
                </c:pt>
                <c:pt idx="6">
                  <c:v>0.50936170212765974</c:v>
                </c:pt>
                <c:pt idx="7">
                  <c:v>0.50936170212765974</c:v>
                </c:pt>
                <c:pt idx="8">
                  <c:v>0.50936170212765974</c:v>
                </c:pt>
                <c:pt idx="9">
                  <c:v>0.50936170212765974</c:v>
                </c:pt>
                <c:pt idx="10">
                  <c:v>0.50936170212765974</c:v>
                </c:pt>
                <c:pt idx="11">
                  <c:v>0.50936170212765974</c:v>
                </c:pt>
                <c:pt idx="12">
                  <c:v>0.50936170212765974</c:v>
                </c:pt>
                <c:pt idx="13">
                  <c:v>0.50936170212765974</c:v>
                </c:pt>
                <c:pt idx="14">
                  <c:v>0.50936170212765974</c:v>
                </c:pt>
                <c:pt idx="15">
                  <c:v>0.50936170212765974</c:v>
                </c:pt>
                <c:pt idx="16">
                  <c:v>0.50936170212765974</c:v>
                </c:pt>
                <c:pt idx="17">
                  <c:v>0.50936170212765974</c:v>
                </c:pt>
                <c:pt idx="18">
                  <c:v>0.50936170212765974</c:v>
                </c:pt>
                <c:pt idx="19">
                  <c:v>0.50936170212765974</c:v>
                </c:pt>
                <c:pt idx="20">
                  <c:v>0.50936170212765974</c:v>
                </c:pt>
                <c:pt idx="21">
                  <c:v>0.50936170212765974</c:v>
                </c:pt>
                <c:pt idx="22">
                  <c:v>0.50936170212765974</c:v>
                </c:pt>
                <c:pt idx="23">
                  <c:v>0.50936170212765974</c:v>
                </c:pt>
                <c:pt idx="24">
                  <c:v>0.50936170212765974</c:v>
                </c:pt>
                <c:pt idx="25">
                  <c:v>0.50936170212765974</c:v>
                </c:pt>
                <c:pt idx="26">
                  <c:v>0.50936170212765974</c:v>
                </c:pt>
                <c:pt idx="27">
                  <c:v>0.50936170212765974</c:v>
                </c:pt>
                <c:pt idx="28">
                  <c:v>0.50936170212765974</c:v>
                </c:pt>
                <c:pt idx="29">
                  <c:v>0.50936170212765974</c:v>
                </c:pt>
                <c:pt idx="30">
                  <c:v>0.50936170212765974</c:v>
                </c:pt>
                <c:pt idx="31">
                  <c:v>0.50936170212765974</c:v>
                </c:pt>
                <c:pt idx="32">
                  <c:v>0.50936170212765974</c:v>
                </c:pt>
                <c:pt idx="33">
                  <c:v>0.50936170212765974</c:v>
                </c:pt>
                <c:pt idx="34">
                  <c:v>0.50936170212765974</c:v>
                </c:pt>
                <c:pt idx="35">
                  <c:v>0.50936170212765974</c:v>
                </c:pt>
                <c:pt idx="36">
                  <c:v>0.50936170212765974</c:v>
                </c:pt>
                <c:pt idx="37">
                  <c:v>0.50936170212765974</c:v>
                </c:pt>
                <c:pt idx="38">
                  <c:v>0.50936170212765974</c:v>
                </c:pt>
                <c:pt idx="39">
                  <c:v>0.50936170212765974</c:v>
                </c:pt>
                <c:pt idx="40">
                  <c:v>0.50936170212765974</c:v>
                </c:pt>
                <c:pt idx="41">
                  <c:v>0.50936170212765974</c:v>
                </c:pt>
                <c:pt idx="42">
                  <c:v>0.50936170212765974</c:v>
                </c:pt>
                <c:pt idx="43">
                  <c:v>0.50936170212765974</c:v>
                </c:pt>
                <c:pt idx="44">
                  <c:v>0.50936170212765974</c:v>
                </c:pt>
                <c:pt idx="45">
                  <c:v>0.50936170212765974</c:v>
                </c:pt>
                <c:pt idx="46">
                  <c:v>0.50936170212765974</c:v>
                </c:pt>
                <c:pt idx="47">
                  <c:v>0.50936170212765974</c:v>
                </c:pt>
                <c:pt idx="48">
                  <c:v>0.50936170212765974</c:v>
                </c:pt>
                <c:pt idx="49">
                  <c:v>0.50936170212765974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00-4C52-9FFA-F70ABF9D153C}"/>
            </c:ext>
          </c:extLst>
        </c:ser>
        <c:ser>
          <c:idx val="2"/>
          <c:order val="2"/>
          <c:tx>
            <c:strRef>
              <c:f>Datos!$D$1</c:f>
              <c:strCache>
                <c:ptCount val="1"/>
                <c:pt idx="0">
                  <c:v>LC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[0]!batch</c:f>
              <c:numCache>
                <c:formatCode>General</c:formatCode>
                <c:ptCount val="50"/>
                <c:pt idx="0">
                  <c:v>45</c:v>
                </c:pt>
                <c:pt idx="1">
                  <c:v>46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55</c:v>
                </c:pt>
                <c:pt idx="11">
                  <c:v>56</c:v>
                </c:pt>
                <c:pt idx="12">
                  <c:v>57</c:v>
                </c:pt>
                <c:pt idx="13">
                  <c:v>58</c:v>
                </c:pt>
                <c:pt idx="14">
                  <c:v>59</c:v>
                </c:pt>
                <c:pt idx="15">
                  <c:v>60</c:v>
                </c:pt>
                <c:pt idx="16">
                  <c:v>61</c:v>
                </c:pt>
                <c:pt idx="17">
                  <c:v>62</c:v>
                </c:pt>
                <c:pt idx="18">
                  <c:v>63</c:v>
                </c:pt>
                <c:pt idx="19">
                  <c:v>64</c:v>
                </c:pt>
                <c:pt idx="20">
                  <c:v>65</c:v>
                </c:pt>
                <c:pt idx="21">
                  <c:v>66</c:v>
                </c:pt>
                <c:pt idx="22">
                  <c:v>67</c:v>
                </c:pt>
                <c:pt idx="23">
                  <c:v>68</c:v>
                </c:pt>
                <c:pt idx="24">
                  <c:v>69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75</c:v>
                </c:pt>
                <c:pt idx="31">
                  <c:v>76</c:v>
                </c:pt>
                <c:pt idx="32">
                  <c:v>77</c:v>
                </c:pt>
                <c:pt idx="33">
                  <c:v>78</c:v>
                </c:pt>
                <c:pt idx="34">
                  <c:v>79</c:v>
                </c:pt>
                <c:pt idx="35">
                  <c:v>80</c:v>
                </c:pt>
                <c:pt idx="36">
                  <c:v>81</c:v>
                </c:pt>
                <c:pt idx="37">
                  <c:v>82</c:v>
                </c:pt>
                <c:pt idx="38">
                  <c:v>83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87</c:v>
                </c:pt>
                <c:pt idx="43">
                  <c:v>88</c:v>
                </c:pt>
                <c:pt idx="44">
                  <c:v>89</c:v>
                </c:pt>
                <c:pt idx="45">
                  <c:v>90</c:v>
                </c:pt>
                <c:pt idx="46">
                  <c:v>91</c:v>
                </c:pt>
                <c:pt idx="47">
                  <c:v>92</c:v>
                </c:pt>
                <c:pt idx="48">
                  <c:v>93</c:v>
                </c:pt>
                <c:pt idx="49">
                  <c:v>94</c:v>
                </c:pt>
              </c:numCache>
            </c:numRef>
          </c:cat>
          <c:val>
            <c:numRef>
              <c:f>[0]!v_i_media</c:f>
              <c:numCache>
                <c:formatCode>0.00</c:formatCode>
                <c:ptCount val="50"/>
                <c:pt idx="0">
                  <c:v>0.64500000000000013</c:v>
                </c:pt>
                <c:pt idx="1">
                  <c:v>0.64500000000000013</c:v>
                </c:pt>
                <c:pt idx="2">
                  <c:v>0.64500000000000013</c:v>
                </c:pt>
                <c:pt idx="3">
                  <c:v>0.64500000000000013</c:v>
                </c:pt>
                <c:pt idx="4">
                  <c:v>0.64500000000000013</c:v>
                </c:pt>
                <c:pt idx="5">
                  <c:v>0.64500000000000013</c:v>
                </c:pt>
                <c:pt idx="6">
                  <c:v>0.64500000000000013</c:v>
                </c:pt>
                <c:pt idx="7">
                  <c:v>0.64500000000000013</c:v>
                </c:pt>
                <c:pt idx="8">
                  <c:v>0.64500000000000013</c:v>
                </c:pt>
                <c:pt idx="9">
                  <c:v>0.64500000000000013</c:v>
                </c:pt>
                <c:pt idx="10">
                  <c:v>0.64500000000000013</c:v>
                </c:pt>
                <c:pt idx="11">
                  <c:v>0.64500000000000013</c:v>
                </c:pt>
                <c:pt idx="12">
                  <c:v>0.64500000000000013</c:v>
                </c:pt>
                <c:pt idx="13">
                  <c:v>0.64500000000000013</c:v>
                </c:pt>
                <c:pt idx="14">
                  <c:v>0.64500000000000013</c:v>
                </c:pt>
                <c:pt idx="15">
                  <c:v>0.64500000000000013</c:v>
                </c:pt>
                <c:pt idx="16">
                  <c:v>0.64500000000000013</c:v>
                </c:pt>
                <c:pt idx="17">
                  <c:v>0.64500000000000013</c:v>
                </c:pt>
                <c:pt idx="18">
                  <c:v>0.64500000000000013</c:v>
                </c:pt>
                <c:pt idx="19">
                  <c:v>0.64500000000000013</c:v>
                </c:pt>
                <c:pt idx="20">
                  <c:v>0.64500000000000013</c:v>
                </c:pt>
                <c:pt idx="21">
                  <c:v>0.64500000000000013</c:v>
                </c:pt>
                <c:pt idx="22">
                  <c:v>0.64500000000000013</c:v>
                </c:pt>
                <c:pt idx="23">
                  <c:v>0.64500000000000013</c:v>
                </c:pt>
                <c:pt idx="24">
                  <c:v>0.64500000000000013</c:v>
                </c:pt>
                <c:pt idx="25">
                  <c:v>0.64500000000000013</c:v>
                </c:pt>
                <c:pt idx="26">
                  <c:v>0.64500000000000013</c:v>
                </c:pt>
                <c:pt idx="27">
                  <c:v>0.64500000000000013</c:v>
                </c:pt>
                <c:pt idx="28">
                  <c:v>0.64500000000000013</c:v>
                </c:pt>
                <c:pt idx="29">
                  <c:v>0.64500000000000013</c:v>
                </c:pt>
                <c:pt idx="30">
                  <c:v>0.64500000000000013</c:v>
                </c:pt>
                <c:pt idx="31">
                  <c:v>0.64500000000000013</c:v>
                </c:pt>
                <c:pt idx="32">
                  <c:v>0.64500000000000013</c:v>
                </c:pt>
                <c:pt idx="33">
                  <c:v>0.64500000000000013</c:v>
                </c:pt>
                <c:pt idx="34">
                  <c:v>0.64500000000000013</c:v>
                </c:pt>
                <c:pt idx="35">
                  <c:v>0.64500000000000013</c:v>
                </c:pt>
                <c:pt idx="36">
                  <c:v>0.64500000000000013</c:v>
                </c:pt>
                <c:pt idx="37">
                  <c:v>0.64500000000000013</c:v>
                </c:pt>
                <c:pt idx="38">
                  <c:v>0.64500000000000013</c:v>
                </c:pt>
                <c:pt idx="39">
                  <c:v>0.64500000000000013</c:v>
                </c:pt>
                <c:pt idx="40">
                  <c:v>0.64500000000000013</c:v>
                </c:pt>
                <c:pt idx="41">
                  <c:v>0.64500000000000013</c:v>
                </c:pt>
                <c:pt idx="42">
                  <c:v>0.64500000000000013</c:v>
                </c:pt>
                <c:pt idx="43">
                  <c:v>0.64500000000000013</c:v>
                </c:pt>
                <c:pt idx="44">
                  <c:v>0.64500000000000013</c:v>
                </c:pt>
                <c:pt idx="45">
                  <c:v>0.64500000000000013</c:v>
                </c:pt>
                <c:pt idx="46">
                  <c:v>0.64500000000000013</c:v>
                </c:pt>
                <c:pt idx="47">
                  <c:v>0.64500000000000013</c:v>
                </c:pt>
                <c:pt idx="48">
                  <c:v>0.64500000000000013</c:v>
                </c:pt>
                <c:pt idx="49">
                  <c:v>0.64500000000000013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00-4C52-9FFA-F70ABF9D153C}"/>
            </c:ext>
          </c:extLst>
        </c:ser>
        <c:ser>
          <c:idx val="3"/>
          <c:order val="3"/>
          <c:tx>
            <c:strRef>
              <c:f>Datos!$E$1</c:f>
              <c:strCache>
                <c:ptCount val="1"/>
                <c:pt idx="0">
                  <c:v>LCS</c:v>
                </c:pt>
              </c:strCache>
            </c:strRef>
          </c:tx>
          <c:spPr>
            <a:ln w="22225" cap="rnd" cmpd="sng" algn="ctr">
              <a:solidFill>
                <a:schemeClr val="tx1">
                  <a:lumMod val="50000"/>
                  <a:lumOff val="50000"/>
                </a:schemeClr>
              </a:solidFill>
              <a:prstDash val="dashDot"/>
              <a:round/>
            </a:ln>
            <a:effectLst/>
          </c:spPr>
          <c:marker>
            <c:symbol val="none"/>
          </c:marker>
          <c:cat>
            <c:numRef>
              <c:f>[0]!batch</c:f>
              <c:numCache>
                <c:formatCode>General</c:formatCode>
                <c:ptCount val="50"/>
                <c:pt idx="0">
                  <c:v>45</c:v>
                </c:pt>
                <c:pt idx="1">
                  <c:v>46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55</c:v>
                </c:pt>
                <c:pt idx="11">
                  <c:v>56</c:v>
                </c:pt>
                <c:pt idx="12">
                  <c:v>57</c:v>
                </c:pt>
                <c:pt idx="13">
                  <c:v>58</c:v>
                </c:pt>
                <c:pt idx="14">
                  <c:v>59</c:v>
                </c:pt>
                <c:pt idx="15">
                  <c:v>60</c:v>
                </c:pt>
                <c:pt idx="16">
                  <c:v>61</c:v>
                </c:pt>
                <c:pt idx="17">
                  <c:v>62</c:v>
                </c:pt>
                <c:pt idx="18">
                  <c:v>63</c:v>
                </c:pt>
                <c:pt idx="19">
                  <c:v>64</c:v>
                </c:pt>
                <c:pt idx="20">
                  <c:v>65</c:v>
                </c:pt>
                <c:pt idx="21">
                  <c:v>66</c:v>
                </c:pt>
                <c:pt idx="22">
                  <c:v>67</c:v>
                </c:pt>
                <c:pt idx="23">
                  <c:v>68</c:v>
                </c:pt>
                <c:pt idx="24">
                  <c:v>69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75</c:v>
                </c:pt>
                <c:pt idx="31">
                  <c:v>76</c:v>
                </c:pt>
                <c:pt idx="32">
                  <c:v>77</c:v>
                </c:pt>
                <c:pt idx="33">
                  <c:v>78</c:v>
                </c:pt>
                <c:pt idx="34">
                  <c:v>79</c:v>
                </c:pt>
                <c:pt idx="35">
                  <c:v>80</c:v>
                </c:pt>
                <c:pt idx="36">
                  <c:v>81</c:v>
                </c:pt>
                <c:pt idx="37">
                  <c:v>82</c:v>
                </c:pt>
                <c:pt idx="38">
                  <c:v>83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87</c:v>
                </c:pt>
                <c:pt idx="43">
                  <c:v>88</c:v>
                </c:pt>
                <c:pt idx="44">
                  <c:v>89</c:v>
                </c:pt>
                <c:pt idx="45">
                  <c:v>90</c:v>
                </c:pt>
                <c:pt idx="46">
                  <c:v>91</c:v>
                </c:pt>
                <c:pt idx="47">
                  <c:v>92</c:v>
                </c:pt>
                <c:pt idx="48">
                  <c:v>93</c:v>
                </c:pt>
                <c:pt idx="49">
                  <c:v>94</c:v>
                </c:pt>
              </c:numCache>
            </c:numRef>
          </c:cat>
          <c:val>
            <c:numRef>
              <c:f>[0]!v_i_lcs</c:f>
              <c:numCache>
                <c:formatCode>0.00</c:formatCode>
                <c:ptCount val="50"/>
                <c:pt idx="0">
                  <c:v>0.78063829787234051</c:v>
                </c:pt>
                <c:pt idx="1">
                  <c:v>0.78063829787234051</c:v>
                </c:pt>
                <c:pt idx="2">
                  <c:v>0.78063829787234051</c:v>
                </c:pt>
                <c:pt idx="3">
                  <c:v>0.78063829787234051</c:v>
                </c:pt>
                <c:pt idx="4">
                  <c:v>0.78063829787234051</c:v>
                </c:pt>
                <c:pt idx="5">
                  <c:v>0.78063829787234051</c:v>
                </c:pt>
                <c:pt idx="6">
                  <c:v>0.78063829787234051</c:v>
                </c:pt>
                <c:pt idx="7">
                  <c:v>0.78063829787234051</c:v>
                </c:pt>
                <c:pt idx="8">
                  <c:v>0.78063829787234051</c:v>
                </c:pt>
                <c:pt idx="9">
                  <c:v>0.78063829787234051</c:v>
                </c:pt>
                <c:pt idx="10">
                  <c:v>0.78063829787234051</c:v>
                </c:pt>
                <c:pt idx="11">
                  <c:v>0.78063829787234051</c:v>
                </c:pt>
                <c:pt idx="12">
                  <c:v>0.78063829787234051</c:v>
                </c:pt>
                <c:pt idx="13">
                  <c:v>0.78063829787234051</c:v>
                </c:pt>
                <c:pt idx="14">
                  <c:v>0.78063829787234051</c:v>
                </c:pt>
                <c:pt idx="15">
                  <c:v>0.78063829787234051</c:v>
                </c:pt>
                <c:pt idx="16">
                  <c:v>0.78063829787234051</c:v>
                </c:pt>
                <c:pt idx="17">
                  <c:v>0.78063829787234051</c:v>
                </c:pt>
                <c:pt idx="18">
                  <c:v>0.78063829787234051</c:v>
                </c:pt>
                <c:pt idx="19">
                  <c:v>0.78063829787234051</c:v>
                </c:pt>
                <c:pt idx="20">
                  <c:v>0.78063829787234051</c:v>
                </c:pt>
                <c:pt idx="21">
                  <c:v>0.78063829787234051</c:v>
                </c:pt>
                <c:pt idx="22">
                  <c:v>0.78063829787234051</c:v>
                </c:pt>
                <c:pt idx="23">
                  <c:v>0.78063829787234051</c:v>
                </c:pt>
                <c:pt idx="24">
                  <c:v>0.78063829787234051</c:v>
                </c:pt>
                <c:pt idx="25">
                  <c:v>0.78063829787234051</c:v>
                </c:pt>
                <c:pt idx="26">
                  <c:v>0.78063829787234051</c:v>
                </c:pt>
                <c:pt idx="27">
                  <c:v>0.78063829787234051</c:v>
                </c:pt>
                <c:pt idx="28">
                  <c:v>0.78063829787234051</c:v>
                </c:pt>
                <c:pt idx="29">
                  <c:v>0.78063829787234051</c:v>
                </c:pt>
                <c:pt idx="30">
                  <c:v>0.78063829787234051</c:v>
                </c:pt>
                <c:pt idx="31">
                  <c:v>0.78063829787234051</c:v>
                </c:pt>
                <c:pt idx="32">
                  <c:v>0.78063829787234051</c:v>
                </c:pt>
                <c:pt idx="33">
                  <c:v>0.78063829787234051</c:v>
                </c:pt>
                <c:pt idx="34">
                  <c:v>0.78063829787234051</c:v>
                </c:pt>
                <c:pt idx="35">
                  <c:v>0.78063829787234051</c:v>
                </c:pt>
                <c:pt idx="36">
                  <c:v>0.78063829787234051</c:v>
                </c:pt>
                <c:pt idx="37">
                  <c:v>0.78063829787234051</c:v>
                </c:pt>
                <c:pt idx="38">
                  <c:v>0.78063829787234051</c:v>
                </c:pt>
                <c:pt idx="39">
                  <c:v>0.78063829787234051</c:v>
                </c:pt>
                <c:pt idx="40">
                  <c:v>0.78063829787234051</c:v>
                </c:pt>
                <c:pt idx="41">
                  <c:v>0.78063829787234051</c:v>
                </c:pt>
                <c:pt idx="42">
                  <c:v>0.78063829787234051</c:v>
                </c:pt>
                <c:pt idx="43">
                  <c:v>0.78063829787234051</c:v>
                </c:pt>
                <c:pt idx="44">
                  <c:v>0.78063829787234051</c:v>
                </c:pt>
                <c:pt idx="45">
                  <c:v>0.78063829787234051</c:v>
                </c:pt>
                <c:pt idx="46">
                  <c:v>0.78063829787234051</c:v>
                </c:pt>
                <c:pt idx="47">
                  <c:v>0.78063829787234051</c:v>
                </c:pt>
                <c:pt idx="48">
                  <c:v>0.78063829787234051</c:v>
                </c:pt>
                <c:pt idx="49">
                  <c:v>0.78063829787234051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00-4C52-9FFA-F70ABF9D1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1554336"/>
        <c:axId val="1681831936"/>
      </c:lineChart>
      <c:catAx>
        <c:axId val="1981554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81831936"/>
        <c:crosses val="autoZero"/>
        <c:auto val="1"/>
        <c:lblAlgn val="ctr"/>
        <c:lblOffset val="100"/>
        <c:noMultiLvlLbl val="0"/>
      </c:catAx>
      <c:valAx>
        <c:axId val="1681831936"/>
        <c:scaling>
          <c:orientation val="minMax"/>
          <c:min val="0.4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8155433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Datos!$F$1</c:f>
              <c:strCache>
                <c:ptCount val="1"/>
                <c:pt idx="0">
                  <c:v>Rango Móvil</c:v>
                </c:pt>
              </c:strCache>
            </c:strRef>
          </c:tx>
          <c:spPr>
            <a:ln w="22225" cap="rnd" cmpd="sng" algn="ctr">
              <a:solidFill>
                <a:srgbClr val="FF2F2F"/>
              </a:solidFill>
              <a:round/>
            </a:ln>
            <a:effectLst/>
          </c:spPr>
          <c:marker>
            <c:symbol val="none"/>
          </c:marker>
          <c:cat>
            <c:numRef>
              <c:f>[0]!batch</c:f>
              <c:numCache>
                <c:formatCode>General</c:formatCode>
                <c:ptCount val="50"/>
                <c:pt idx="0">
                  <c:v>45</c:v>
                </c:pt>
                <c:pt idx="1">
                  <c:v>46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55</c:v>
                </c:pt>
                <c:pt idx="11">
                  <c:v>56</c:v>
                </c:pt>
                <c:pt idx="12">
                  <c:v>57</c:v>
                </c:pt>
                <c:pt idx="13">
                  <c:v>58</c:v>
                </c:pt>
                <c:pt idx="14">
                  <c:v>59</c:v>
                </c:pt>
                <c:pt idx="15">
                  <c:v>60</c:v>
                </c:pt>
                <c:pt idx="16">
                  <c:v>61</c:v>
                </c:pt>
                <c:pt idx="17">
                  <c:v>62</c:v>
                </c:pt>
                <c:pt idx="18">
                  <c:v>63</c:v>
                </c:pt>
                <c:pt idx="19">
                  <c:v>64</c:v>
                </c:pt>
                <c:pt idx="20">
                  <c:v>65</c:v>
                </c:pt>
                <c:pt idx="21">
                  <c:v>66</c:v>
                </c:pt>
                <c:pt idx="22">
                  <c:v>67</c:v>
                </c:pt>
                <c:pt idx="23">
                  <c:v>68</c:v>
                </c:pt>
                <c:pt idx="24">
                  <c:v>69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75</c:v>
                </c:pt>
                <c:pt idx="31">
                  <c:v>76</c:v>
                </c:pt>
                <c:pt idx="32">
                  <c:v>77</c:v>
                </c:pt>
                <c:pt idx="33">
                  <c:v>78</c:v>
                </c:pt>
                <c:pt idx="34">
                  <c:v>79</c:v>
                </c:pt>
                <c:pt idx="35">
                  <c:v>80</c:v>
                </c:pt>
                <c:pt idx="36">
                  <c:v>81</c:v>
                </c:pt>
                <c:pt idx="37">
                  <c:v>82</c:v>
                </c:pt>
                <c:pt idx="38">
                  <c:v>83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87</c:v>
                </c:pt>
                <c:pt idx="43">
                  <c:v>88</c:v>
                </c:pt>
                <c:pt idx="44">
                  <c:v>89</c:v>
                </c:pt>
                <c:pt idx="45">
                  <c:v>90</c:v>
                </c:pt>
                <c:pt idx="46">
                  <c:v>91</c:v>
                </c:pt>
                <c:pt idx="47">
                  <c:v>92</c:v>
                </c:pt>
                <c:pt idx="48">
                  <c:v>93</c:v>
                </c:pt>
                <c:pt idx="49">
                  <c:v>94</c:v>
                </c:pt>
              </c:numCache>
            </c:numRef>
          </c:cat>
          <c:val>
            <c:numRef>
              <c:f>[0]!rm</c:f>
              <c:numCache>
                <c:formatCode>0.00</c:formatCode>
                <c:ptCount val="50"/>
                <c:pt idx="0">
                  <c:v>0.16000000000000003</c:v>
                </c:pt>
                <c:pt idx="1">
                  <c:v>2.0000000000000018E-2</c:v>
                </c:pt>
                <c:pt idx="2">
                  <c:v>4.0000000000000036E-2</c:v>
                </c:pt>
                <c:pt idx="3">
                  <c:v>1.0000000000000009E-2</c:v>
                </c:pt>
                <c:pt idx="4">
                  <c:v>3.9999999999999925E-2</c:v>
                </c:pt>
                <c:pt idx="5">
                  <c:v>1.9999999999999907E-2</c:v>
                </c:pt>
                <c:pt idx="6">
                  <c:v>5.0000000000000044E-2</c:v>
                </c:pt>
                <c:pt idx="7">
                  <c:v>0</c:v>
                </c:pt>
                <c:pt idx="8">
                  <c:v>3.0000000000000027E-2</c:v>
                </c:pt>
                <c:pt idx="9">
                  <c:v>2.9999999999999916E-2</c:v>
                </c:pt>
                <c:pt idx="10">
                  <c:v>9.9999999999999978E-2</c:v>
                </c:pt>
                <c:pt idx="11">
                  <c:v>5.0000000000000044E-2</c:v>
                </c:pt>
                <c:pt idx="12">
                  <c:v>0.14000000000000001</c:v>
                </c:pt>
                <c:pt idx="13">
                  <c:v>7.0000000000000062E-2</c:v>
                </c:pt>
                <c:pt idx="14">
                  <c:v>2.9999999999999916E-2</c:v>
                </c:pt>
                <c:pt idx="15">
                  <c:v>8.0000000000000071E-2</c:v>
                </c:pt>
                <c:pt idx="16">
                  <c:v>1.0000000000000009E-2</c:v>
                </c:pt>
                <c:pt idx="17">
                  <c:v>3.0000000000000027E-2</c:v>
                </c:pt>
                <c:pt idx="18">
                  <c:v>2.0000000000000018E-2</c:v>
                </c:pt>
                <c:pt idx="19">
                  <c:v>1.0000000000000009E-2</c:v>
                </c:pt>
                <c:pt idx="20">
                  <c:v>1.0000000000000009E-2</c:v>
                </c:pt>
                <c:pt idx="21">
                  <c:v>2.9999999999999916E-2</c:v>
                </c:pt>
                <c:pt idx="22">
                  <c:v>4.9999999999999933E-2</c:v>
                </c:pt>
                <c:pt idx="23">
                  <c:v>1.0000000000000009E-2</c:v>
                </c:pt>
                <c:pt idx="24">
                  <c:v>2.0000000000000018E-2</c:v>
                </c:pt>
                <c:pt idx="25">
                  <c:v>5.0000000000000044E-2</c:v>
                </c:pt>
                <c:pt idx="26">
                  <c:v>0.17000000000000004</c:v>
                </c:pt>
                <c:pt idx="27">
                  <c:v>2.0000000000000018E-2</c:v>
                </c:pt>
                <c:pt idx="28">
                  <c:v>0.13</c:v>
                </c:pt>
                <c:pt idx="29">
                  <c:v>0.13</c:v>
                </c:pt>
                <c:pt idx="30">
                  <c:v>0.12</c:v>
                </c:pt>
                <c:pt idx="31">
                  <c:v>4.9999999999999933E-2</c:v>
                </c:pt>
                <c:pt idx="32">
                  <c:v>3.9999999999999925E-2</c:v>
                </c:pt>
                <c:pt idx="33">
                  <c:v>4.9999999999999933E-2</c:v>
                </c:pt>
                <c:pt idx="34">
                  <c:v>1.0000000000000009E-2</c:v>
                </c:pt>
                <c:pt idx="35">
                  <c:v>3.9999999999999925E-2</c:v>
                </c:pt>
                <c:pt idx="36">
                  <c:v>1.0000000000000009E-2</c:v>
                </c:pt>
                <c:pt idx="37">
                  <c:v>4.9999999999999933E-2</c:v>
                </c:pt>
                <c:pt idx="38">
                  <c:v>0.18999999999999995</c:v>
                </c:pt>
                <c:pt idx="39">
                  <c:v>0.14000000000000001</c:v>
                </c:pt>
                <c:pt idx="40">
                  <c:v>1.0000000000000009E-2</c:v>
                </c:pt>
                <c:pt idx="41">
                  <c:v>1.0000000000000009E-2</c:v>
                </c:pt>
                <c:pt idx="42">
                  <c:v>7.999999999999996E-2</c:v>
                </c:pt>
                <c:pt idx="43">
                  <c:v>4.0000000000000036E-2</c:v>
                </c:pt>
                <c:pt idx="44">
                  <c:v>1.9999999999999907E-2</c:v>
                </c:pt>
                <c:pt idx="45">
                  <c:v>3.0000000000000027E-2</c:v>
                </c:pt>
                <c:pt idx="46">
                  <c:v>3.0000000000000027E-2</c:v>
                </c:pt>
                <c:pt idx="47">
                  <c:v>2.9999999999999916E-2</c:v>
                </c:pt>
                <c:pt idx="48">
                  <c:v>2.9999999999999916E-2</c:v>
                </c:pt>
                <c:pt idx="49">
                  <c:v>1.0000000000000009E-2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B5-46F1-B12B-9121CBC24DF1}"/>
            </c:ext>
          </c:extLst>
        </c:ser>
        <c:ser>
          <c:idx val="1"/>
          <c:order val="1"/>
          <c:tx>
            <c:strRef>
              <c:f>Datos!$G$1</c:f>
              <c:strCache>
                <c:ptCount val="1"/>
                <c:pt idx="0">
                  <c:v>LCI - R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cat>
            <c:numRef>
              <c:f>[0]!batch</c:f>
              <c:numCache>
                <c:formatCode>General</c:formatCode>
                <c:ptCount val="50"/>
                <c:pt idx="0">
                  <c:v>45</c:v>
                </c:pt>
                <c:pt idx="1">
                  <c:v>46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55</c:v>
                </c:pt>
                <c:pt idx="11">
                  <c:v>56</c:v>
                </c:pt>
                <c:pt idx="12">
                  <c:v>57</c:v>
                </c:pt>
                <c:pt idx="13">
                  <c:v>58</c:v>
                </c:pt>
                <c:pt idx="14">
                  <c:v>59</c:v>
                </c:pt>
                <c:pt idx="15">
                  <c:v>60</c:v>
                </c:pt>
                <c:pt idx="16">
                  <c:v>61</c:v>
                </c:pt>
                <c:pt idx="17">
                  <c:v>62</c:v>
                </c:pt>
                <c:pt idx="18">
                  <c:v>63</c:v>
                </c:pt>
                <c:pt idx="19">
                  <c:v>64</c:v>
                </c:pt>
                <c:pt idx="20">
                  <c:v>65</c:v>
                </c:pt>
                <c:pt idx="21">
                  <c:v>66</c:v>
                </c:pt>
                <c:pt idx="22">
                  <c:v>67</c:v>
                </c:pt>
                <c:pt idx="23">
                  <c:v>68</c:v>
                </c:pt>
                <c:pt idx="24">
                  <c:v>69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75</c:v>
                </c:pt>
                <c:pt idx="31">
                  <c:v>76</c:v>
                </c:pt>
                <c:pt idx="32">
                  <c:v>77</c:v>
                </c:pt>
                <c:pt idx="33">
                  <c:v>78</c:v>
                </c:pt>
                <c:pt idx="34">
                  <c:v>79</c:v>
                </c:pt>
                <c:pt idx="35">
                  <c:v>80</c:v>
                </c:pt>
                <c:pt idx="36">
                  <c:v>81</c:v>
                </c:pt>
                <c:pt idx="37">
                  <c:v>82</c:v>
                </c:pt>
                <c:pt idx="38">
                  <c:v>83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87</c:v>
                </c:pt>
                <c:pt idx="43">
                  <c:v>88</c:v>
                </c:pt>
                <c:pt idx="44">
                  <c:v>89</c:v>
                </c:pt>
                <c:pt idx="45">
                  <c:v>90</c:v>
                </c:pt>
                <c:pt idx="46">
                  <c:v>91</c:v>
                </c:pt>
                <c:pt idx="47">
                  <c:v>92</c:v>
                </c:pt>
                <c:pt idx="48">
                  <c:v>93</c:v>
                </c:pt>
                <c:pt idx="49">
                  <c:v>94</c:v>
                </c:pt>
              </c:numCache>
            </c:numRef>
          </c:cat>
          <c:val>
            <c:numRef>
              <c:f>[0]!v_lci_r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B5-46F1-B12B-9121CBC24DF1}"/>
            </c:ext>
          </c:extLst>
        </c:ser>
        <c:ser>
          <c:idx val="2"/>
          <c:order val="2"/>
          <c:tx>
            <c:strRef>
              <c:f>Datos!$H$1</c:f>
              <c:strCache>
                <c:ptCount val="1"/>
                <c:pt idx="0">
                  <c:v>LC - R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[0]!batch</c:f>
              <c:numCache>
                <c:formatCode>General</c:formatCode>
                <c:ptCount val="50"/>
                <c:pt idx="0">
                  <c:v>45</c:v>
                </c:pt>
                <c:pt idx="1">
                  <c:v>46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55</c:v>
                </c:pt>
                <c:pt idx="11">
                  <c:v>56</c:v>
                </c:pt>
                <c:pt idx="12">
                  <c:v>57</c:v>
                </c:pt>
                <c:pt idx="13">
                  <c:v>58</c:v>
                </c:pt>
                <c:pt idx="14">
                  <c:v>59</c:v>
                </c:pt>
                <c:pt idx="15">
                  <c:v>60</c:v>
                </c:pt>
                <c:pt idx="16">
                  <c:v>61</c:v>
                </c:pt>
                <c:pt idx="17">
                  <c:v>62</c:v>
                </c:pt>
                <c:pt idx="18">
                  <c:v>63</c:v>
                </c:pt>
                <c:pt idx="19">
                  <c:v>64</c:v>
                </c:pt>
                <c:pt idx="20">
                  <c:v>65</c:v>
                </c:pt>
                <c:pt idx="21">
                  <c:v>66</c:v>
                </c:pt>
                <c:pt idx="22">
                  <c:v>67</c:v>
                </c:pt>
                <c:pt idx="23">
                  <c:v>68</c:v>
                </c:pt>
                <c:pt idx="24">
                  <c:v>69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75</c:v>
                </c:pt>
                <c:pt idx="31">
                  <c:v>76</c:v>
                </c:pt>
                <c:pt idx="32">
                  <c:v>77</c:v>
                </c:pt>
                <c:pt idx="33">
                  <c:v>78</c:v>
                </c:pt>
                <c:pt idx="34">
                  <c:v>79</c:v>
                </c:pt>
                <c:pt idx="35">
                  <c:v>80</c:v>
                </c:pt>
                <c:pt idx="36">
                  <c:v>81</c:v>
                </c:pt>
                <c:pt idx="37">
                  <c:v>82</c:v>
                </c:pt>
                <c:pt idx="38">
                  <c:v>83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87</c:v>
                </c:pt>
                <c:pt idx="43">
                  <c:v>88</c:v>
                </c:pt>
                <c:pt idx="44">
                  <c:v>89</c:v>
                </c:pt>
                <c:pt idx="45">
                  <c:v>90</c:v>
                </c:pt>
                <c:pt idx="46">
                  <c:v>91</c:v>
                </c:pt>
                <c:pt idx="47">
                  <c:v>92</c:v>
                </c:pt>
                <c:pt idx="48">
                  <c:v>93</c:v>
                </c:pt>
                <c:pt idx="49">
                  <c:v>94</c:v>
                </c:pt>
              </c:numCache>
            </c:numRef>
          </c:cat>
          <c:val>
            <c:numRef>
              <c:f>[0]!v_rango_movil</c:f>
              <c:numCache>
                <c:formatCode>0.00</c:formatCode>
                <c:ptCount val="50"/>
                <c:pt idx="0">
                  <c:v>5.0999999999999976E-2</c:v>
                </c:pt>
                <c:pt idx="1">
                  <c:v>5.0999999999999976E-2</c:v>
                </c:pt>
                <c:pt idx="2">
                  <c:v>5.0999999999999976E-2</c:v>
                </c:pt>
                <c:pt idx="3">
                  <c:v>5.0999999999999976E-2</c:v>
                </c:pt>
                <c:pt idx="4">
                  <c:v>5.0999999999999976E-2</c:v>
                </c:pt>
                <c:pt idx="5">
                  <c:v>5.0999999999999976E-2</c:v>
                </c:pt>
                <c:pt idx="6">
                  <c:v>5.0999999999999976E-2</c:v>
                </c:pt>
                <c:pt idx="7">
                  <c:v>5.0999999999999976E-2</c:v>
                </c:pt>
                <c:pt idx="8">
                  <c:v>5.0999999999999976E-2</c:v>
                </c:pt>
                <c:pt idx="9">
                  <c:v>5.0999999999999976E-2</c:v>
                </c:pt>
                <c:pt idx="10">
                  <c:v>5.0999999999999976E-2</c:v>
                </c:pt>
                <c:pt idx="11">
                  <c:v>5.0999999999999976E-2</c:v>
                </c:pt>
                <c:pt idx="12">
                  <c:v>5.0999999999999976E-2</c:v>
                </c:pt>
                <c:pt idx="13">
                  <c:v>5.0999999999999976E-2</c:v>
                </c:pt>
                <c:pt idx="14">
                  <c:v>5.0999999999999976E-2</c:v>
                </c:pt>
                <c:pt idx="15">
                  <c:v>5.0999999999999976E-2</c:v>
                </c:pt>
                <c:pt idx="16">
                  <c:v>5.0999999999999976E-2</c:v>
                </c:pt>
                <c:pt idx="17">
                  <c:v>5.0999999999999976E-2</c:v>
                </c:pt>
                <c:pt idx="18">
                  <c:v>5.0999999999999976E-2</c:v>
                </c:pt>
                <c:pt idx="19">
                  <c:v>5.0999999999999976E-2</c:v>
                </c:pt>
                <c:pt idx="20">
                  <c:v>5.0999999999999976E-2</c:v>
                </c:pt>
                <c:pt idx="21">
                  <c:v>5.0999999999999976E-2</c:v>
                </c:pt>
                <c:pt idx="22">
                  <c:v>5.0999999999999976E-2</c:v>
                </c:pt>
                <c:pt idx="23">
                  <c:v>5.0999999999999976E-2</c:v>
                </c:pt>
                <c:pt idx="24">
                  <c:v>5.0999999999999976E-2</c:v>
                </c:pt>
                <c:pt idx="25">
                  <c:v>5.0999999999999976E-2</c:v>
                </c:pt>
                <c:pt idx="26">
                  <c:v>5.0999999999999976E-2</c:v>
                </c:pt>
                <c:pt idx="27">
                  <c:v>5.0999999999999976E-2</c:v>
                </c:pt>
                <c:pt idx="28">
                  <c:v>5.0999999999999976E-2</c:v>
                </c:pt>
                <c:pt idx="29">
                  <c:v>5.0999999999999976E-2</c:v>
                </c:pt>
                <c:pt idx="30">
                  <c:v>5.0999999999999976E-2</c:v>
                </c:pt>
                <c:pt idx="31">
                  <c:v>5.0999999999999976E-2</c:v>
                </c:pt>
                <c:pt idx="32">
                  <c:v>5.0999999999999976E-2</c:v>
                </c:pt>
                <c:pt idx="33">
                  <c:v>5.0999999999999976E-2</c:v>
                </c:pt>
                <c:pt idx="34">
                  <c:v>5.0999999999999976E-2</c:v>
                </c:pt>
                <c:pt idx="35">
                  <c:v>5.0999999999999976E-2</c:v>
                </c:pt>
                <c:pt idx="36">
                  <c:v>5.0999999999999976E-2</c:v>
                </c:pt>
                <c:pt idx="37">
                  <c:v>5.0999999999999976E-2</c:v>
                </c:pt>
                <c:pt idx="38">
                  <c:v>5.0999999999999976E-2</c:v>
                </c:pt>
                <c:pt idx="39">
                  <c:v>5.0999999999999976E-2</c:v>
                </c:pt>
                <c:pt idx="40">
                  <c:v>5.0999999999999976E-2</c:v>
                </c:pt>
                <c:pt idx="41">
                  <c:v>5.0999999999999976E-2</c:v>
                </c:pt>
                <c:pt idx="42">
                  <c:v>5.0999999999999976E-2</c:v>
                </c:pt>
                <c:pt idx="43">
                  <c:v>5.0999999999999976E-2</c:v>
                </c:pt>
                <c:pt idx="44">
                  <c:v>5.0999999999999976E-2</c:v>
                </c:pt>
                <c:pt idx="45">
                  <c:v>5.0999999999999976E-2</c:v>
                </c:pt>
                <c:pt idx="46">
                  <c:v>5.0999999999999976E-2</c:v>
                </c:pt>
                <c:pt idx="47">
                  <c:v>5.0999999999999976E-2</c:v>
                </c:pt>
                <c:pt idx="48">
                  <c:v>5.0999999999999976E-2</c:v>
                </c:pt>
                <c:pt idx="49">
                  <c:v>5.0999999999999976E-2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B5-46F1-B12B-9121CBC24DF1}"/>
            </c:ext>
          </c:extLst>
        </c:ser>
        <c:ser>
          <c:idx val="3"/>
          <c:order val="3"/>
          <c:tx>
            <c:strRef>
              <c:f>Datos!$I$1</c:f>
              <c:strCache>
                <c:ptCount val="1"/>
                <c:pt idx="0">
                  <c:v>LCS - R</c:v>
                </c:pt>
              </c:strCache>
            </c:strRef>
          </c:tx>
          <c:spPr>
            <a:ln w="22225" cap="rnd" cmpd="sng" algn="ctr">
              <a:solidFill>
                <a:schemeClr val="tx1">
                  <a:lumMod val="50000"/>
                  <a:lumOff val="50000"/>
                </a:schemeClr>
              </a:solidFill>
              <a:prstDash val="dashDot"/>
              <a:round/>
            </a:ln>
            <a:effectLst/>
          </c:spPr>
          <c:marker>
            <c:symbol val="none"/>
          </c:marker>
          <c:cat>
            <c:numRef>
              <c:f>[0]!batch</c:f>
              <c:numCache>
                <c:formatCode>General</c:formatCode>
                <c:ptCount val="50"/>
                <c:pt idx="0">
                  <c:v>45</c:v>
                </c:pt>
                <c:pt idx="1">
                  <c:v>46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55</c:v>
                </c:pt>
                <c:pt idx="11">
                  <c:v>56</c:v>
                </c:pt>
                <c:pt idx="12">
                  <c:v>57</c:v>
                </c:pt>
                <c:pt idx="13">
                  <c:v>58</c:v>
                </c:pt>
                <c:pt idx="14">
                  <c:v>59</c:v>
                </c:pt>
                <c:pt idx="15">
                  <c:v>60</c:v>
                </c:pt>
                <c:pt idx="16">
                  <c:v>61</c:v>
                </c:pt>
                <c:pt idx="17">
                  <c:v>62</c:v>
                </c:pt>
                <c:pt idx="18">
                  <c:v>63</c:v>
                </c:pt>
                <c:pt idx="19">
                  <c:v>64</c:v>
                </c:pt>
                <c:pt idx="20">
                  <c:v>65</c:v>
                </c:pt>
                <c:pt idx="21">
                  <c:v>66</c:v>
                </c:pt>
                <c:pt idx="22">
                  <c:v>67</c:v>
                </c:pt>
                <c:pt idx="23">
                  <c:v>68</c:v>
                </c:pt>
                <c:pt idx="24">
                  <c:v>69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75</c:v>
                </c:pt>
                <c:pt idx="31">
                  <c:v>76</c:v>
                </c:pt>
                <c:pt idx="32">
                  <c:v>77</c:v>
                </c:pt>
                <c:pt idx="33">
                  <c:v>78</c:v>
                </c:pt>
                <c:pt idx="34">
                  <c:v>79</c:v>
                </c:pt>
                <c:pt idx="35">
                  <c:v>80</c:v>
                </c:pt>
                <c:pt idx="36">
                  <c:v>81</c:v>
                </c:pt>
                <c:pt idx="37">
                  <c:v>82</c:v>
                </c:pt>
                <c:pt idx="38">
                  <c:v>83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87</c:v>
                </c:pt>
                <c:pt idx="43">
                  <c:v>88</c:v>
                </c:pt>
                <c:pt idx="44">
                  <c:v>89</c:v>
                </c:pt>
                <c:pt idx="45">
                  <c:v>90</c:v>
                </c:pt>
                <c:pt idx="46">
                  <c:v>91</c:v>
                </c:pt>
                <c:pt idx="47">
                  <c:v>92</c:v>
                </c:pt>
                <c:pt idx="48">
                  <c:v>93</c:v>
                </c:pt>
                <c:pt idx="49">
                  <c:v>94</c:v>
                </c:pt>
              </c:numCache>
            </c:numRef>
          </c:cat>
          <c:val>
            <c:numRef>
              <c:f>[0]!v_lcs_r</c:f>
              <c:numCache>
                <c:formatCode>0.00</c:formatCode>
                <c:ptCount val="50"/>
                <c:pt idx="0">
                  <c:v>0.16669859999999992</c:v>
                </c:pt>
                <c:pt idx="1">
                  <c:v>0.16669859999999992</c:v>
                </c:pt>
                <c:pt idx="2">
                  <c:v>0.16669859999999992</c:v>
                </c:pt>
                <c:pt idx="3">
                  <c:v>0.16669859999999992</c:v>
                </c:pt>
                <c:pt idx="4">
                  <c:v>0.16669859999999992</c:v>
                </c:pt>
                <c:pt idx="5">
                  <c:v>0.16669859999999992</c:v>
                </c:pt>
                <c:pt idx="6">
                  <c:v>0.16669859999999992</c:v>
                </c:pt>
                <c:pt idx="7">
                  <c:v>0.16669859999999992</c:v>
                </c:pt>
                <c:pt idx="8">
                  <c:v>0.16669859999999992</c:v>
                </c:pt>
                <c:pt idx="9">
                  <c:v>0.16669859999999992</c:v>
                </c:pt>
                <c:pt idx="10">
                  <c:v>0.16669859999999992</c:v>
                </c:pt>
                <c:pt idx="11">
                  <c:v>0.16669859999999992</c:v>
                </c:pt>
                <c:pt idx="12">
                  <c:v>0.16669859999999992</c:v>
                </c:pt>
                <c:pt idx="13">
                  <c:v>0.16669859999999992</c:v>
                </c:pt>
                <c:pt idx="14">
                  <c:v>0.16669859999999992</c:v>
                </c:pt>
                <c:pt idx="15">
                  <c:v>0.16669859999999992</c:v>
                </c:pt>
                <c:pt idx="16">
                  <c:v>0.16669859999999992</c:v>
                </c:pt>
                <c:pt idx="17">
                  <c:v>0.16669859999999992</c:v>
                </c:pt>
                <c:pt idx="18">
                  <c:v>0.16669859999999992</c:v>
                </c:pt>
                <c:pt idx="19">
                  <c:v>0.16669859999999992</c:v>
                </c:pt>
                <c:pt idx="20">
                  <c:v>0.16669859999999992</c:v>
                </c:pt>
                <c:pt idx="21">
                  <c:v>0.16669859999999992</c:v>
                </c:pt>
                <c:pt idx="22">
                  <c:v>0.16669859999999992</c:v>
                </c:pt>
                <c:pt idx="23">
                  <c:v>0.16669859999999992</c:v>
                </c:pt>
                <c:pt idx="24">
                  <c:v>0.16669859999999992</c:v>
                </c:pt>
                <c:pt idx="25">
                  <c:v>0.16669859999999992</c:v>
                </c:pt>
                <c:pt idx="26">
                  <c:v>0.16669859999999992</c:v>
                </c:pt>
                <c:pt idx="27">
                  <c:v>0.16669859999999992</c:v>
                </c:pt>
                <c:pt idx="28">
                  <c:v>0.16669859999999992</c:v>
                </c:pt>
                <c:pt idx="29">
                  <c:v>0.16669859999999992</c:v>
                </c:pt>
                <c:pt idx="30">
                  <c:v>0.16669859999999992</c:v>
                </c:pt>
                <c:pt idx="31">
                  <c:v>0.16669859999999992</c:v>
                </c:pt>
                <c:pt idx="32">
                  <c:v>0.16669859999999992</c:v>
                </c:pt>
                <c:pt idx="33">
                  <c:v>0.16669859999999992</c:v>
                </c:pt>
                <c:pt idx="34">
                  <c:v>0.16669859999999992</c:v>
                </c:pt>
                <c:pt idx="35">
                  <c:v>0.16669859999999992</c:v>
                </c:pt>
                <c:pt idx="36">
                  <c:v>0.16669859999999992</c:v>
                </c:pt>
                <c:pt idx="37">
                  <c:v>0.16669859999999992</c:v>
                </c:pt>
                <c:pt idx="38">
                  <c:v>0.16669859999999992</c:v>
                </c:pt>
                <c:pt idx="39">
                  <c:v>0.16669859999999992</c:v>
                </c:pt>
                <c:pt idx="40">
                  <c:v>0.16669859999999992</c:v>
                </c:pt>
                <c:pt idx="41">
                  <c:v>0.16669859999999992</c:v>
                </c:pt>
                <c:pt idx="42">
                  <c:v>0.16669859999999992</c:v>
                </c:pt>
                <c:pt idx="43">
                  <c:v>0.16669859999999992</c:v>
                </c:pt>
                <c:pt idx="44">
                  <c:v>0.16669859999999992</c:v>
                </c:pt>
                <c:pt idx="45">
                  <c:v>0.16669859999999992</c:v>
                </c:pt>
                <c:pt idx="46">
                  <c:v>0.16669859999999992</c:v>
                </c:pt>
                <c:pt idx="47">
                  <c:v>0.16669859999999992</c:v>
                </c:pt>
                <c:pt idx="48">
                  <c:v>0.16669859999999992</c:v>
                </c:pt>
                <c:pt idx="49">
                  <c:v>0.16669859999999992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B5-46F1-B12B-9121CBC24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0290736"/>
        <c:axId val="1410294576"/>
      </c:lineChart>
      <c:catAx>
        <c:axId val="1410290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410294576"/>
        <c:crosses val="autoZero"/>
        <c:auto val="1"/>
        <c:lblAlgn val="ctr"/>
        <c:lblOffset val="100"/>
        <c:noMultiLvlLbl val="0"/>
      </c:catAx>
      <c:valAx>
        <c:axId val="1410294576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41029073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1C14BE05-B781-4984-9662-116631B2B854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plotArea>
      <cx:plotAreaRegion>
        <cx:series layoutId="clusteredColumn" uniqueId="{1C14BE05-B781-4984-9662-116631B2B854}">
          <cx:spPr>
            <a:solidFill>
              <a:srgbClr val="F20000"/>
            </a:solidFill>
          </cx:spPr>
          <cx:dataId val="0"/>
          <cx:layoutPr>
            <cx:binning intervalClosed="r"/>
          </cx:layoutPr>
        </cx:series>
      </cx:plotAreaRegion>
      <cx:axis id="0">
        <cx:catScaling gapWidth="0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s-E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 hidden="1">
        <cx:valScaling/>
        <cx:majorGridlines>
          <cx:spPr>
            <a:ln>
              <a:noFill/>
            </a:ln>
          </cx:spPr>
        </cx:majorGridlines>
        <cx:tickLabels/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microsoft.com/office/2014/relationships/chartEx" Target="../charts/chartEx2.xml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chart" Target="../charts/chart8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100965</xdr:colOff>
      <xdr:row>5</xdr:row>
      <xdr:rowOff>149095</xdr:rowOff>
    </xdr:from>
    <xdr:to>
      <xdr:col>16</xdr:col>
      <xdr:colOff>780347</xdr:colOff>
      <xdr:row>28</xdr:row>
      <xdr:rowOff>56098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38F7F6B-4AD5-4C6E-9642-9B22DF1F4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59215" y="1053970"/>
          <a:ext cx="5731442" cy="4057998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</xdr:row>
      <xdr:rowOff>9525</xdr:rowOff>
    </xdr:from>
    <xdr:to>
      <xdr:col>15</xdr:col>
      <xdr:colOff>209729</xdr:colOff>
      <xdr:row>5</xdr:row>
      <xdr:rowOff>131563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1301BD9-976A-42AB-8DB0-0FF3E8CA5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182850" y="733425"/>
          <a:ext cx="1284149" cy="836413"/>
        </a:xfrm>
        <a:prstGeom prst="rect">
          <a:avLst/>
        </a:prstGeom>
      </xdr:spPr>
    </xdr:pic>
    <xdr:clientData/>
  </xdr:twoCellAnchor>
  <xdr:twoCellAnchor editAs="oneCell">
    <xdr:from>
      <xdr:col>15</xdr:col>
      <xdr:colOff>704850</xdr:colOff>
      <xdr:row>1</xdr:row>
      <xdr:rowOff>38100</xdr:rowOff>
    </xdr:from>
    <xdr:to>
      <xdr:col>16</xdr:col>
      <xdr:colOff>474423</xdr:colOff>
      <xdr:row>3</xdr:row>
      <xdr:rowOff>19099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38085FA-A951-48F2-BDC7-C4F85F59C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73550" y="219075"/>
          <a:ext cx="571578" cy="350569"/>
        </a:xfrm>
        <a:prstGeom prst="rect">
          <a:avLst/>
        </a:prstGeom>
      </xdr:spPr>
    </xdr:pic>
    <xdr:clientData/>
  </xdr:twoCellAnchor>
  <xdr:twoCellAnchor editAs="oneCell">
    <xdr:from>
      <xdr:col>15</xdr:col>
      <xdr:colOff>714375</xdr:colOff>
      <xdr:row>3</xdr:row>
      <xdr:rowOff>19050</xdr:rowOff>
    </xdr:from>
    <xdr:to>
      <xdr:col>16</xdr:col>
      <xdr:colOff>476327</xdr:colOff>
      <xdr:row>5</xdr:row>
      <xdr:rowOff>17197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8D09A0D3-DD49-4292-BC29-04355D350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983075" y="561975"/>
          <a:ext cx="552527" cy="3734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188595</xdr:colOff>
      <xdr:row>0</xdr:row>
      <xdr:rowOff>133350</xdr:rowOff>
    </xdr:from>
    <xdr:to>
      <xdr:col>20</xdr:col>
      <xdr:colOff>552450</xdr:colOff>
      <xdr:row>17</xdr:row>
      <xdr:rowOff>96052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BE4CF49-AD0B-4520-A87B-A3CD4202CC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84970" y="133350"/>
          <a:ext cx="8260080" cy="3029752"/>
        </a:xfrm>
        <a:prstGeom prst="rect">
          <a:avLst/>
        </a:prstGeom>
      </xdr:spPr>
    </xdr:pic>
    <xdr:clientData/>
  </xdr:twoCellAnchor>
  <xdr:twoCellAnchor editAs="oneCell">
    <xdr:from>
      <xdr:col>10</xdr:col>
      <xdr:colOff>514350</xdr:colOff>
      <xdr:row>37</xdr:row>
      <xdr:rowOff>45721</xdr:rowOff>
    </xdr:from>
    <xdr:to>
      <xdr:col>20</xdr:col>
      <xdr:colOff>16652</xdr:colOff>
      <xdr:row>54</xdr:row>
      <xdr:rowOff>53704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954B242-7C7B-59D5-3DA3-122F11502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741796"/>
          <a:ext cx="7400432" cy="3080748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</xdr:colOff>
      <xdr:row>13</xdr:row>
      <xdr:rowOff>76200</xdr:rowOff>
    </xdr:from>
    <xdr:to>
      <xdr:col>1</xdr:col>
      <xdr:colOff>744396</xdr:colOff>
      <xdr:row>17</xdr:row>
      <xdr:rowOff>15240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FBB197F-66EF-3F70-E017-905885CD0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440" y="2428875"/>
          <a:ext cx="1529256" cy="655320"/>
        </a:xfrm>
        <a:prstGeom prst="rect">
          <a:avLst/>
        </a:prstGeom>
      </xdr:spPr>
    </xdr:pic>
    <xdr:clientData/>
  </xdr:twoCellAnchor>
  <xdr:twoCellAnchor editAs="oneCell">
    <xdr:from>
      <xdr:col>10</xdr:col>
      <xdr:colOff>609599</xdr:colOff>
      <xdr:row>17</xdr:row>
      <xdr:rowOff>69883</xdr:rowOff>
    </xdr:from>
    <xdr:to>
      <xdr:col>17</xdr:col>
      <xdr:colOff>727709</xdr:colOff>
      <xdr:row>36</xdr:row>
      <xdr:rowOff>21087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33BE0FCA-D91B-BE15-9FB8-79FE9E753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05974" y="3146458"/>
          <a:ext cx="5652135" cy="338591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19050</xdr:rowOff>
    </xdr:from>
    <xdr:to>
      <xdr:col>10</xdr:col>
      <xdr:colOff>590550</xdr:colOff>
      <xdr:row>18</xdr:row>
      <xdr:rowOff>95250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38E56ACC-CBF2-4995-98AD-403A65497D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</xdr:colOff>
      <xdr:row>18</xdr:row>
      <xdr:rowOff>97155</xdr:rowOff>
    </xdr:from>
    <xdr:to>
      <xdr:col>10</xdr:col>
      <xdr:colOff>590551</xdr:colOff>
      <xdr:row>32</xdr:row>
      <xdr:rowOff>129540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306F9BD-C0C4-4C8D-AB6B-010F49274B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361951</xdr:colOff>
      <xdr:row>0</xdr:row>
      <xdr:rowOff>133351</xdr:rowOff>
    </xdr:from>
    <xdr:to>
      <xdr:col>15</xdr:col>
      <xdr:colOff>741046</xdr:colOff>
      <xdr:row>15</xdr:row>
      <xdr:rowOff>120015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FAAFD90-1AFE-4520-A3CE-C5D357E8DE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380999</xdr:colOff>
      <xdr:row>16</xdr:row>
      <xdr:rowOff>116206</xdr:rowOff>
    </xdr:from>
    <xdr:to>
      <xdr:col>16</xdr:col>
      <xdr:colOff>704850</xdr:colOff>
      <xdr:row>28</xdr:row>
      <xdr:rowOff>163830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4295DB76-D4A2-46B8-A8BC-7C9083C5AC6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86899" y="3011806"/>
              <a:ext cx="4272916" cy="22231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0</xdr:col>
      <xdr:colOff>38100</xdr:colOff>
      <xdr:row>33</xdr:row>
      <xdr:rowOff>47625</xdr:rowOff>
    </xdr:from>
    <xdr:to>
      <xdr:col>5</xdr:col>
      <xdr:colOff>238125</xdr:colOff>
      <xdr:row>48</xdr:row>
      <xdr:rowOff>81915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4FC5E51-C500-4082-86EF-57FD29854F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624840</xdr:colOff>
      <xdr:row>40</xdr:row>
      <xdr:rowOff>95249</xdr:rowOff>
    </xdr:from>
    <xdr:to>
      <xdr:col>17</xdr:col>
      <xdr:colOff>55244</xdr:colOff>
      <xdr:row>60</xdr:row>
      <xdr:rowOff>161925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C2E93697-1FF9-493D-B83E-1987B80663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278129</xdr:colOff>
      <xdr:row>31</xdr:row>
      <xdr:rowOff>76200</xdr:rowOff>
    </xdr:from>
    <xdr:to>
      <xdr:col>5</xdr:col>
      <xdr:colOff>272415</xdr:colOff>
      <xdr:row>36</xdr:row>
      <xdr:rowOff>59055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90825C03-DE80-61E5-5144-515E0C983919}"/>
            </a:ext>
          </a:extLst>
        </xdr:cNvPr>
        <xdr:cNvSpPr/>
      </xdr:nvSpPr>
      <xdr:spPr>
        <a:xfrm>
          <a:off x="1487804" y="5686425"/>
          <a:ext cx="3156586" cy="887730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800" b="1">
              <a:solidFill>
                <a:srgbClr val="FF0000"/>
              </a:solidFill>
              <a:latin typeface="+mn-lt"/>
              <a:ea typeface="+mn-ea"/>
              <a:cs typeface="+mn-cs"/>
            </a:rPr>
            <a:t>Batch</a:t>
          </a:r>
          <a:r>
            <a:rPr lang="es-MX" sz="1800" b="1" baseline="0">
              <a:solidFill>
                <a:srgbClr val="FF0000"/>
              </a:solidFill>
              <a:latin typeface="+mn-lt"/>
              <a:ea typeface="+mn-ea"/>
              <a:cs typeface="+mn-cs"/>
            </a:rPr>
            <a:t> Inicial para Análisis</a:t>
          </a:r>
          <a:endParaRPr lang="es-MX" sz="1800" b="1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167640</xdr:colOff>
      <xdr:row>0</xdr:row>
      <xdr:rowOff>95249</xdr:rowOff>
    </xdr:from>
    <xdr:to>
      <xdr:col>12</xdr:col>
      <xdr:colOff>97155</xdr:colOff>
      <xdr:row>5</xdr:row>
      <xdr:rowOff>19049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1ED7B18-F799-917D-CC00-E1B1CAE84CF5}"/>
            </a:ext>
          </a:extLst>
        </xdr:cNvPr>
        <xdr:cNvSpPr/>
      </xdr:nvSpPr>
      <xdr:spPr>
        <a:xfrm>
          <a:off x="1377315" y="95249"/>
          <a:ext cx="8625840" cy="828675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2800" b="1">
              <a:solidFill>
                <a:srgbClr val="FF0000"/>
              </a:solidFill>
            </a:rPr>
            <a:t>Gráfica</a:t>
          </a:r>
          <a:r>
            <a:rPr lang="es-MX" sz="2800" b="1" baseline="0">
              <a:solidFill>
                <a:srgbClr val="FF0000"/>
              </a:solidFill>
            </a:rPr>
            <a:t> I - MR y Control de Proceso</a:t>
          </a:r>
        </a:p>
        <a:p>
          <a:pPr algn="l"/>
          <a:r>
            <a:rPr lang="es-MX" sz="1200" b="1" i="1" baseline="0">
              <a:solidFill>
                <a:schemeClr val="bg1">
                  <a:lumMod val="50000"/>
                </a:schemeClr>
              </a:solidFill>
            </a:rPr>
            <a:t>Gráfica de datos individuales y Rangos Móviles   </a:t>
          </a:r>
          <a:endParaRPr lang="es-MX" sz="12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12</xdr:col>
      <xdr:colOff>462916</xdr:colOff>
      <xdr:row>15</xdr:row>
      <xdr:rowOff>60959</xdr:rowOff>
    </xdr:from>
    <xdr:to>
      <xdr:col>16</xdr:col>
      <xdr:colOff>771525</xdr:colOff>
      <xdr:row>30</xdr:row>
      <xdr:rowOff>97154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F9AB01D-1334-4718-1F2F-68F8E7D5ED91}"/>
            </a:ext>
          </a:extLst>
        </xdr:cNvPr>
        <xdr:cNvSpPr/>
      </xdr:nvSpPr>
      <xdr:spPr>
        <a:xfrm>
          <a:off x="10368916" y="2775584"/>
          <a:ext cx="3470909" cy="275082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solidFill>
                <a:srgbClr val="FF0000"/>
              </a:solidFill>
            </a:rPr>
            <a:t>Distribución</a:t>
          </a:r>
          <a:r>
            <a:rPr lang="es-MX" sz="1400" b="1" baseline="0">
              <a:solidFill>
                <a:srgbClr val="FF0000"/>
              </a:solidFill>
            </a:rPr>
            <a:t> de Mediciones</a:t>
          </a:r>
          <a:endParaRPr lang="es-MX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171452</xdr:colOff>
      <xdr:row>6</xdr:row>
      <xdr:rowOff>19050</xdr:rowOff>
    </xdr:from>
    <xdr:to>
      <xdr:col>12</xdr:col>
      <xdr:colOff>133350</xdr:colOff>
      <xdr:row>30</xdr:row>
      <xdr:rowOff>93346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83FEDCDF-E9EF-B479-3F0A-026D12EE66E1}"/>
            </a:ext>
          </a:extLst>
        </xdr:cNvPr>
        <xdr:cNvSpPr/>
      </xdr:nvSpPr>
      <xdr:spPr>
        <a:xfrm>
          <a:off x="1381127" y="1104900"/>
          <a:ext cx="8658223" cy="441769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solidFill>
                <a:srgbClr val="FF0000"/>
              </a:solidFill>
            </a:rPr>
            <a:t>Gráfica</a:t>
          </a:r>
          <a:r>
            <a:rPr lang="es-MX" sz="1400" b="1" baseline="0">
              <a:solidFill>
                <a:srgbClr val="FF0000"/>
              </a:solidFill>
            </a:rPr>
            <a:t>s I - MR</a:t>
          </a:r>
          <a:endParaRPr lang="es-MX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12</xdr:col>
      <xdr:colOff>476250</xdr:colOff>
      <xdr:row>1</xdr:row>
      <xdr:rowOff>19050</xdr:rowOff>
    </xdr:from>
    <xdr:to>
      <xdr:col>16</xdr:col>
      <xdr:colOff>626745</xdr:colOff>
      <xdr:row>13</xdr:row>
      <xdr:rowOff>142875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52B7A659-3460-202F-A7D3-8F876D09257D}"/>
            </a:ext>
          </a:extLst>
        </xdr:cNvPr>
        <xdr:cNvSpPr/>
      </xdr:nvSpPr>
      <xdr:spPr>
        <a:xfrm>
          <a:off x="10382250" y="200025"/>
          <a:ext cx="3312795" cy="2295525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400" b="1">
              <a:solidFill>
                <a:srgbClr val="FF0000"/>
              </a:solidFill>
            </a:rPr>
            <a:t>Gráfica Q-Q</a:t>
          </a:r>
        </a:p>
      </xdr:txBody>
    </xdr:sp>
    <xdr:clientData/>
  </xdr:twoCellAnchor>
  <xdr:twoCellAnchor>
    <xdr:from>
      <xdr:col>12</xdr:col>
      <xdr:colOff>653417</xdr:colOff>
      <xdr:row>18</xdr:row>
      <xdr:rowOff>53340</xdr:rowOff>
    </xdr:from>
    <xdr:to>
      <xdr:col>16</xdr:col>
      <xdr:colOff>586740</xdr:colOff>
      <xdr:row>29</xdr:row>
      <xdr:rowOff>169545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Gráfico 8">
              <a:extLst>
                <a:ext uri="{FF2B5EF4-FFF2-40B4-BE49-F238E27FC236}">
                  <a16:creationId xmlns:a16="http://schemas.microsoft.com/office/drawing/2014/main" id="{888B81F0-972C-45A1-AF76-33546CF8B6E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61322" y="3314700"/>
              <a:ext cx="3097528" cy="21069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12</xdr:col>
      <xdr:colOff>474345</xdr:colOff>
      <xdr:row>2</xdr:row>
      <xdr:rowOff>55245</xdr:rowOff>
    </xdr:from>
    <xdr:to>
      <xdr:col>16</xdr:col>
      <xdr:colOff>630555</xdr:colOff>
      <xdr:row>13</xdr:row>
      <xdr:rowOff>133350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2A7ED2-9D1B-4962-AD5D-5D950D3B23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321948</xdr:colOff>
      <xdr:row>8</xdr:row>
      <xdr:rowOff>173353</xdr:rowOff>
    </xdr:from>
    <xdr:to>
      <xdr:col>12</xdr:col>
      <xdr:colOff>85725</xdr:colOff>
      <xdr:row>19</xdr:row>
      <xdr:rowOff>55245</xdr:rowOff>
    </xdr:to>
    <xdr:graphicFrame macro="">
      <xdr:nvGraphicFramePr>
        <xdr:cNvPr id="8" name="Gráfico 1">
          <a:extLst>
            <a:ext uri="{FF2B5EF4-FFF2-40B4-BE49-F238E27FC236}">
              <a16:creationId xmlns:a16="http://schemas.microsoft.com/office/drawing/2014/main" id="{37A16B1C-A28E-49AD-8F45-A1E18E4FB9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291468</xdr:colOff>
      <xdr:row>19</xdr:row>
      <xdr:rowOff>171449</xdr:rowOff>
    </xdr:from>
    <xdr:to>
      <xdr:col>11</xdr:col>
      <xdr:colOff>733426</xdr:colOff>
      <xdr:row>30</xdr:row>
      <xdr:rowOff>17146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E40CF686-092F-4851-AAC4-3C0923765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33</xdr:row>
          <xdr:rowOff>114300</xdr:rowOff>
        </xdr:from>
        <xdr:to>
          <xdr:col>5</xdr:col>
          <xdr:colOff>68580</xdr:colOff>
          <xdr:row>35</xdr:row>
          <xdr:rowOff>137160</xdr:rowOff>
        </xdr:to>
        <xdr:sp macro="" textlink="">
          <xdr:nvSpPr>
            <xdr:cNvPr id="10241" name="ScrollBar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31</xdr:row>
      <xdr:rowOff>78105</xdr:rowOff>
    </xdr:from>
    <xdr:to>
      <xdr:col>11</xdr:col>
      <xdr:colOff>47625</xdr:colOff>
      <xdr:row>33</xdr:row>
      <xdr:rowOff>173355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D704D748-620C-4B74-F1F5-5AD32EF81FCE}"/>
            </a:ext>
          </a:extLst>
        </xdr:cNvPr>
        <xdr:cNvSpPr/>
      </xdr:nvSpPr>
      <xdr:spPr>
        <a:xfrm>
          <a:off x="5953125" y="5688330"/>
          <a:ext cx="3209925" cy="457200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800" b="1">
              <a:solidFill>
                <a:srgbClr val="FF0000"/>
              </a:solidFill>
              <a:latin typeface="+mn-lt"/>
              <a:ea typeface="+mn-ea"/>
              <a:cs typeface="+mn-cs"/>
            </a:rPr>
            <a:t>Distribución de Proceso</a:t>
          </a:r>
        </a:p>
      </xdr:txBody>
    </xdr:sp>
    <xdr:clientData/>
  </xdr:twoCellAnchor>
  <xdr:twoCellAnchor>
    <xdr:from>
      <xdr:col>17</xdr:col>
      <xdr:colOff>483870</xdr:colOff>
      <xdr:row>10</xdr:row>
      <xdr:rowOff>30480</xdr:rowOff>
    </xdr:from>
    <xdr:to>
      <xdr:col>21</xdr:col>
      <xdr:colOff>643890</xdr:colOff>
      <xdr:row>22</xdr:row>
      <xdr:rowOff>161925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642310AB-23D3-77A4-4544-1A165D45A605}"/>
            </a:ext>
          </a:extLst>
        </xdr:cNvPr>
        <xdr:cNvSpPr/>
      </xdr:nvSpPr>
      <xdr:spPr>
        <a:xfrm>
          <a:off x="14342745" y="1840230"/>
          <a:ext cx="3322320" cy="2303145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800" b="1">
              <a:solidFill>
                <a:srgbClr val="FF0000"/>
              </a:solidFill>
            </a:rPr>
            <a:t>Cpk</a:t>
          </a:r>
        </a:p>
      </xdr:txBody>
    </xdr:sp>
    <xdr:clientData/>
  </xdr:twoCellAnchor>
  <xdr:twoCellAnchor>
    <xdr:from>
      <xdr:col>19</xdr:col>
      <xdr:colOff>142875</xdr:colOff>
      <xdr:row>15</xdr:row>
      <xdr:rowOff>36195</xdr:rowOff>
    </xdr:from>
    <xdr:to>
      <xdr:col>21</xdr:col>
      <xdr:colOff>702945</xdr:colOff>
      <xdr:row>18</xdr:row>
      <xdr:rowOff>62865</xdr:rowOff>
    </xdr:to>
    <xdr:sp macro="" textlink="'Gráficos de Control'!J40">
      <xdr:nvSpPr>
        <xdr:cNvPr id="17" name="CuadroTexto 16">
          <a:extLst>
            <a:ext uri="{FF2B5EF4-FFF2-40B4-BE49-F238E27FC236}">
              <a16:creationId xmlns:a16="http://schemas.microsoft.com/office/drawing/2014/main" id="{2219C495-0DA8-B083-FEC5-7621F95B4AC2}"/>
            </a:ext>
          </a:extLst>
        </xdr:cNvPr>
        <xdr:cNvSpPr txBox="1"/>
      </xdr:nvSpPr>
      <xdr:spPr>
        <a:xfrm>
          <a:off x="15582900" y="2750820"/>
          <a:ext cx="2141220" cy="5695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D064B2B-DCDB-4FFE-B582-6EC6308873CE}" type="TxLink">
            <a:rPr lang="en-US" sz="2400" b="1" i="1" u="none" strike="noStrike">
              <a:solidFill>
                <a:srgbClr val="F60000"/>
              </a:solidFill>
              <a:latin typeface="Calibri"/>
              <a:ea typeface="Calibri"/>
              <a:cs typeface="Calibri"/>
            </a:rPr>
            <a:pPr/>
            <a:t>2.16</a:t>
          </a:fld>
          <a:endParaRPr lang="es-MX" sz="2400" i="1">
            <a:solidFill>
              <a:srgbClr val="F60000"/>
            </a:solidFill>
          </a:endParaRPr>
        </a:p>
      </xdr:txBody>
    </xdr:sp>
    <xdr:clientData/>
  </xdr:twoCellAnchor>
  <xdr:twoCellAnchor editAs="oneCell">
    <xdr:from>
      <xdr:col>0</xdr:col>
      <xdr:colOff>121920</xdr:colOff>
      <xdr:row>14</xdr:row>
      <xdr:rowOff>9525</xdr:rowOff>
    </xdr:from>
    <xdr:to>
      <xdr:col>0</xdr:col>
      <xdr:colOff>1038225</xdr:colOff>
      <xdr:row>19</xdr:row>
      <xdr:rowOff>24765</xdr:rowOff>
    </xdr:to>
    <xdr:pic macro="[0]!IrADatos">
      <xdr:nvPicPr>
        <xdr:cNvPr id="19" name="Gráfico 18" descr="Base de datos con relleno sólido">
          <a:extLst>
            <a:ext uri="{FF2B5EF4-FFF2-40B4-BE49-F238E27FC236}">
              <a16:creationId xmlns:a16="http://schemas.microsoft.com/office/drawing/2014/main" id="{EB1246AD-E39B-ECF7-9DEB-AE74137A1E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1920" y="2543175"/>
          <a:ext cx="916305" cy="920115"/>
        </a:xfrm>
        <a:prstGeom prst="rect">
          <a:avLst/>
        </a:prstGeom>
      </xdr:spPr>
    </xdr:pic>
    <xdr:clientData/>
  </xdr:twoCellAnchor>
  <xdr:twoCellAnchor>
    <xdr:from>
      <xdr:col>0</xdr:col>
      <xdr:colOff>228600</xdr:colOff>
      <xdr:row>18</xdr:row>
      <xdr:rowOff>95250</xdr:rowOff>
    </xdr:from>
    <xdr:to>
      <xdr:col>0</xdr:col>
      <xdr:colOff>1148715</xdr:colOff>
      <xdr:row>19</xdr:row>
      <xdr:rowOff>173355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957A2DD9-C187-4BB2-5467-F431437DADD9}"/>
            </a:ext>
          </a:extLst>
        </xdr:cNvPr>
        <xdr:cNvSpPr txBox="1"/>
      </xdr:nvSpPr>
      <xdr:spPr>
        <a:xfrm>
          <a:off x="228600" y="3352800"/>
          <a:ext cx="920115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 b="1">
              <a:solidFill>
                <a:schemeClr val="bg1"/>
              </a:solidFill>
            </a:rPr>
            <a:t> Datos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7E6F59-C7C6-49D9-B2E5-F2ABBE8DA99F}" name="Tabla1" displayName="Tabla1" ref="A1:J95" totalsRowShown="0" headerRowDxfId="10">
  <autoFilter ref="A1:J95" xr:uid="{147E6F59-C7C6-49D9-B2E5-F2ABBE8DA99F}"/>
  <tableColumns count="10">
    <tableColumn id="1" xr3:uid="{53FB50F8-C1DC-4EC2-841F-3E803798C345}" name="BATCH"/>
    <tableColumn id="2" xr3:uid="{60DB38B2-E7CE-457A-B024-12BBFB9045FB}" name="MEDICION"/>
    <tableColumn id="4" xr3:uid="{5BCC0501-8DB7-4C58-A70F-D2EEDF3E483A}" name="LCI" dataDxfId="9">
      <calculatedColumnFormula>+$M$1-(3*($M$2/$M$3))</calculatedColumnFormula>
    </tableColumn>
    <tableColumn id="5" xr3:uid="{05F0D8C6-7B9F-42E9-AF47-C3E2A626AF04}" name="LC" dataDxfId="8">
      <calculatedColumnFormula>+$M$1</calculatedColumnFormula>
    </tableColumn>
    <tableColumn id="6" xr3:uid="{15B33202-882E-4C9E-9935-41B22A5244FD}" name="LCS" dataDxfId="7">
      <calculatedColumnFormula>+$M$1+(3*($M$2/$M$3))</calculatedColumnFormula>
    </tableColumn>
    <tableColumn id="13" xr3:uid="{70DAFE03-1427-447E-A3A7-B39BA4688DB3}" name="Rango Móvil" dataDxfId="6">
      <calculatedColumnFormula>+ABS(B1-Tabla1[[#This Row],[MEDICION]])</calculatedColumnFormula>
    </tableColumn>
    <tableColumn id="7" xr3:uid="{0168F9CF-CBFB-41AA-9362-0615C1F9C138}" name="LCI - R" dataDxfId="5">
      <calculatedColumnFormula>+$M$4*$M$2</calculatedColumnFormula>
    </tableColumn>
    <tableColumn id="8" xr3:uid="{AF09096E-991D-444D-95D9-372F8A5CEFF3}" name="LC - R" dataDxfId="4">
      <calculatedColumnFormula>+$M$2</calculatedColumnFormula>
    </tableColumn>
    <tableColumn id="9" xr3:uid="{3BC819C2-79D7-4D2F-8E1A-018CB967511D}" name="LCS - R" dataDxfId="3">
      <calculatedColumnFormula>+$M$5*$M$2</calculatedColumnFormula>
    </tableColumn>
    <tableColumn id="3" xr3:uid="{E812D70E-7B66-4FC8-BD58-C050D1F3C0AE}" name="L.S.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3A63C-E510-4737-8DA6-405B17FAEA63}">
  <sheetPr codeName="Hoja2"/>
  <dimension ref="A1:Q95"/>
  <sheetViews>
    <sheetView workbookViewId="0"/>
  </sheetViews>
  <sheetFormatPr baseColWidth="10" defaultRowHeight="14.4" x14ac:dyDescent="0.3"/>
  <cols>
    <col min="4" max="5" width="11.5546875" style="2"/>
    <col min="6" max="6" width="13.88671875" style="2" bestFit="1" customWidth="1"/>
    <col min="9" max="9" width="11.5546875" style="2"/>
    <col min="10" max="10" width="11.5546875" style="7"/>
    <col min="12" max="12" width="23" bestFit="1" customWidth="1"/>
    <col min="15" max="15" width="15.88671875" customWidth="1"/>
    <col min="17" max="17" width="22.33203125" bestFit="1" customWidth="1"/>
  </cols>
  <sheetData>
    <row r="1" spans="1:17" x14ac:dyDescent="0.3">
      <c r="A1" s="1" t="s">
        <v>0</v>
      </c>
      <c r="B1" s="1" t="s">
        <v>44</v>
      </c>
      <c r="C1" s="1" t="s">
        <v>3</v>
      </c>
      <c r="D1" s="3" t="s">
        <v>4</v>
      </c>
      <c r="E1" s="3" t="s">
        <v>5</v>
      </c>
      <c r="F1" s="3" t="s">
        <v>16</v>
      </c>
      <c r="G1" s="1" t="s">
        <v>13</v>
      </c>
      <c r="H1" s="1" t="s">
        <v>14</v>
      </c>
      <c r="I1" s="3" t="s">
        <v>15</v>
      </c>
      <c r="J1" s="6" t="s">
        <v>41</v>
      </c>
      <c r="L1" t="s">
        <v>1</v>
      </c>
      <c r="M1" s="3">
        <f>+AVERAGE(Tabla1[MEDICION])</f>
        <v>0.67308510638297869</v>
      </c>
      <c r="O1" t="s">
        <v>7</v>
      </c>
      <c r="Q1" t="s">
        <v>9</v>
      </c>
    </row>
    <row r="2" spans="1:17" x14ac:dyDescent="0.3">
      <c r="A2">
        <v>1</v>
      </c>
      <c r="B2">
        <v>0.69</v>
      </c>
      <c r="C2" s="2">
        <f t="shared" ref="C2:C33" si="0">+$M$1-(3*($M$2/$M$3))</f>
        <v>0.43311895551257262</v>
      </c>
      <c r="D2" s="2">
        <f t="shared" ref="D2:D33" si="1">+$M$1</f>
        <v>0.67308510638297869</v>
      </c>
      <c r="E2" s="2">
        <f t="shared" ref="E2:E33" si="2">+$M$1+(3*($M$2/$M$3))</f>
        <v>0.91305125725338476</v>
      </c>
      <c r="G2">
        <f t="shared" ref="G2:G33" si="3">+$M$4*$M$2</f>
        <v>0</v>
      </c>
      <c r="H2" s="2">
        <f t="shared" ref="H2:H33" si="4">+$M$2</f>
        <v>9.0227272727272684E-2</v>
      </c>
      <c r="I2" s="2">
        <f t="shared" ref="I2:I33" si="5">+$M$5*$M$2</f>
        <v>0.29491686363636349</v>
      </c>
      <c r="J2" s="7">
        <v>1</v>
      </c>
      <c r="L2" t="s">
        <v>2</v>
      </c>
      <c r="M2" s="2">
        <f>+AVERAGE(F3:F90)</f>
        <v>9.0227272727272684E-2</v>
      </c>
      <c r="Q2" s="10" t="s">
        <v>11</v>
      </c>
    </row>
    <row r="3" spans="1:17" x14ac:dyDescent="0.3">
      <c r="A3">
        <v>2</v>
      </c>
      <c r="B3">
        <v>0.57999999999999996</v>
      </c>
      <c r="C3" s="2">
        <f t="shared" si="0"/>
        <v>0.43311895551257262</v>
      </c>
      <c r="D3" s="2">
        <f t="shared" si="1"/>
        <v>0.67308510638297869</v>
      </c>
      <c r="E3" s="2">
        <f t="shared" si="2"/>
        <v>0.91305125725338476</v>
      </c>
      <c r="F3" s="2">
        <f>+ABS(B2-Tabla1[[#This Row],[MEDICION]])</f>
        <v>0.10999999999999999</v>
      </c>
      <c r="G3">
        <f t="shared" si="3"/>
        <v>0</v>
      </c>
      <c r="H3" s="2">
        <f t="shared" si="4"/>
        <v>9.0227272727272684E-2</v>
      </c>
      <c r="I3" s="2">
        <f t="shared" si="5"/>
        <v>0.29491686363636349</v>
      </c>
      <c r="J3" s="7">
        <v>1</v>
      </c>
      <c r="L3" t="s">
        <v>6</v>
      </c>
      <c r="M3">
        <v>1.1279999999999999</v>
      </c>
      <c r="Q3" s="10"/>
    </row>
    <row r="4" spans="1:17" x14ac:dyDescent="0.3">
      <c r="A4">
        <v>3</v>
      </c>
      <c r="B4">
        <v>0.74</v>
      </c>
      <c r="C4" s="2">
        <f t="shared" si="0"/>
        <v>0.43311895551257262</v>
      </c>
      <c r="D4" s="2">
        <f t="shared" si="1"/>
        <v>0.67308510638297869</v>
      </c>
      <c r="E4" s="2">
        <f t="shared" si="2"/>
        <v>0.91305125725338476</v>
      </c>
      <c r="F4" s="2">
        <f>+ABS(B3-Tabla1[[#This Row],[MEDICION]])</f>
        <v>0.16000000000000003</v>
      </c>
      <c r="G4">
        <f t="shared" si="3"/>
        <v>0</v>
      </c>
      <c r="H4" s="2">
        <f t="shared" si="4"/>
        <v>9.0227272727272684E-2</v>
      </c>
      <c r="I4" s="2">
        <f t="shared" si="5"/>
        <v>0.29491686363636349</v>
      </c>
      <c r="J4" s="7">
        <v>1</v>
      </c>
      <c r="L4" t="s">
        <v>8</v>
      </c>
      <c r="M4">
        <v>0</v>
      </c>
      <c r="Q4" s="5" t="s">
        <v>12</v>
      </c>
    </row>
    <row r="5" spans="1:17" x14ac:dyDescent="0.3">
      <c r="A5">
        <v>4</v>
      </c>
      <c r="B5">
        <v>0.74</v>
      </c>
      <c r="C5" s="2">
        <f t="shared" si="0"/>
        <v>0.43311895551257262</v>
      </c>
      <c r="D5" s="2">
        <f t="shared" si="1"/>
        <v>0.67308510638297869</v>
      </c>
      <c r="E5" s="2">
        <f t="shared" si="2"/>
        <v>0.91305125725338476</v>
      </c>
      <c r="F5" s="2">
        <f>+ABS(B4-Tabla1[[#This Row],[MEDICION]])</f>
        <v>0</v>
      </c>
      <c r="G5">
        <f t="shared" si="3"/>
        <v>0</v>
      </c>
      <c r="H5" s="2">
        <f t="shared" si="4"/>
        <v>9.0227272727272684E-2</v>
      </c>
      <c r="I5" s="2">
        <f t="shared" si="5"/>
        <v>0.29491686363636349</v>
      </c>
      <c r="J5" s="7">
        <v>1</v>
      </c>
      <c r="L5" t="s">
        <v>10</v>
      </c>
      <c r="M5">
        <v>3.2686000000000002</v>
      </c>
      <c r="Q5" s="5"/>
    </row>
    <row r="6" spans="1:17" x14ac:dyDescent="0.3">
      <c r="A6">
        <v>5</v>
      </c>
      <c r="B6">
        <v>0.69</v>
      </c>
      <c r="C6" s="2">
        <f t="shared" si="0"/>
        <v>0.43311895551257262</v>
      </c>
      <c r="D6" s="2">
        <f t="shared" si="1"/>
        <v>0.67308510638297869</v>
      </c>
      <c r="E6" s="2">
        <f t="shared" si="2"/>
        <v>0.91305125725338476</v>
      </c>
      <c r="F6" s="2">
        <f>+ABS(B5-Tabla1[[#This Row],[MEDICION]])</f>
        <v>5.0000000000000044E-2</v>
      </c>
      <c r="G6">
        <f t="shared" si="3"/>
        <v>0</v>
      </c>
      <c r="H6" s="2">
        <f t="shared" si="4"/>
        <v>9.0227272727272684E-2</v>
      </c>
      <c r="I6" s="2">
        <f t="shared" si="5"/>
        <v>0.29491686363636349</v>
      </c>
      <c r="J6" s="7">
        <v>1</v>
      </c>
    </row>
    <row r="7" spans="1:17" x14ac:dyDescent="0.3">
      <c r="A7">
        <v>6</v>
      </c>
      <c r="B7">
        <v>0.92</v>
      </c>
      <c r="C7" s="2">
        <f t="shared" si="0"/>
        <v>0.43311895551257262</v>
      </c>
      <c r="D7" s="2">
        <f t="shared" si="1"/>
        <v>0.67308510638297869</v>
      </c>
      <c r="E7" s="2">
        <f t="shared" si="2"/>
        <v>0.91305125725338476</v>
      </c>
      <c r="F7" s="2">
        <f>+ABS(B6-Tabla1[[#This Row],[MEDICION]])</f>
        <v>0.23000000000000009</v>
      </c>
      <c r="G7">
        <f t="shared" si="3"/>
        <v>0</v>
      </c>
      <c r="H7" s="2">
        <f t="shared" si="4"/>
        <v>9.0227272727272684E-2</v>
      </c>
      <c r="I7" s="2">
        <f t="shared" si="5"/>
        <v>0.29491686363636349</v>
      </c>
      <c r="J7" s="7">
        <v>1</v>
      </c>
    </row>
    <row r="8" spans="1:17" x14ac:dyDescent="0.3">
      <c r="A8">
        <v>7</v>
      </c>
      <c r="B8">
        <v>0.6</v>
      </c>
      <c r="C8" s="2">
        <f t="shared" si="0"/>
        <v>0.43311895551257262</v>
      </c>
      <c r="D8" s="2">
        <f t="shared" si="1"/>
        <v>0.67308510638297869</v>
      </c>
      <c r="E8" s="2">
        <f t="shared" si="2"/>
        <v>0.91305125725338476</v>
      </c>
      <c r="F8" s="2">
        <f>+ABS(B7-Tabla1[[#This Row],[MEDICION]])</f>
        <v>0.32000000000000006</v>
      </c>
      <c r="G8">
        <f t="shared" si="3"/>
        <v>0</v>
      </c>
      <c r="H8" s="2">
        <f t="shared" si="4"/>
        <v>9.0227272727272684E-2</v>
      </c>
      <c r="I8" s="2">
        <f t="shared" si="5"/>
        <v>0.29491686363636349</v>
      </c>
      <c r="J8" s="7">
        <v>1</v>
      </c>
    </row>
    <row r="9" spans="1:17" x14ac:dyDescent="0.3">
      <c r="A9">
        <v>8</v>
      </c>
      <c r="B9">
        <v>0.6</v>
      </c>
      <c r="C9" s="2">
        <f t="shared" si="0"/>
        <v>0.43311895551257262</v>
      </c>
      <c r="D9" s="2">
        <f t="shared" si="1"/>
        <v>0.67308510638297869</v>
      </c>
      <c r="E9" s="2">
        <f t="shared" si="2"/>
        <v>0.91305125725338476</v>
      </c>
      <c r="F9" s="2">
        <f>+ABS(B8-Tabla1[[#This Row],[MEDICION]])</f>
        <v>0</v>
      </c>
      <c r="G9">
        <f t="shared" si="3"/>
        <v>0</v>
      </c>
      <c r="H9" s="2">
        <f t="shared" si="4"/>
        <v>9.0227272727272684E-2</v>
      </c>
      <c r="I9" s="2">
        <f t="shared" si="5"/>
        <v>0.29491686363636349</v>
      </c>
      <c r="J9" s="7">
        <v>1</v>
      </c>
    </row>
    <row r="10" spans="1:17" x14ac:dyDescent="0.3">
      <c r="A10">
        <v>9</v>
      </c>
      <c r="B10">
        <v>0.69</v>
      </c>
      <c r="C10" s="2">
        <f t="shared" si="0"/>
        <v>0.43311895551257262</v>
      </c>
      <c r="D10" s="2">
        <f t="shared" si="1"/>
        <v>0.67308510638297869</v>
      </c>
      <c r="E10" s="2">
        <f t="shared" si="2"/>
        <v>0.91305125725338476</v>
      </c>
      <c r="F10" s="2">
        <f>+ABS(B9-Tabla1[[#This Row],[MEDICION]])</f>
        <v>8.9999999999999969E-2</v>
      </c>
      <c r="G10">
        <f t="shared" si="3"/>
        <v>0</v>
      </c>
      <c r="H10" s="2">
        <f t="shared" si="4"/>
        <v>9.0227272727272684E-2</v>
      </c>
      <c r="I10" s="2">
        <f t="shared" si="5"/>
        <v>0.29491686363636349</v>
      </c>
      <c r="J10" s="7">
        <v>1</v>
      </c>
    </row>
    <row r="11" spans="1:17" x14ac:dyDescent="0.3">
      <c r="A11">
        <v>10</v>
      </c>
      <c r="B11">
        <v>0.51</v>
      </c>
      <c r="C11" s="2">
        <f t="shared" si="0"/>
        <v>0.43311895551257262</v>
      </c>
      <c r="D11" s="2">
        <f t="shared" si="1"/>
        <v>0.67308510638297869</v>
      </c>
      <c r="E11" s="2">
        <f t="shared" si="2"/>
        <v>0.91305125725338476</v>
      </c>
      <c r="F11" s="2">
        <f>+ABS(B10-Tabla1[[#This Row],[MEDICION]])</f>
        <v>0.17999999999999994</v>
      </c>
      <c r="G11">
        <f t="shared" si="3"/>
        <v>0</v>
      </c>
      <c r="H11" s="2">
        <f t="shared" si="4"/>
        <v>9.0227272727272684E-2</v>
      </c>
      <c r="I11" s="2">
        <f t="shared" si="5"/>
        <v>0.29491686363636349</v>
      </c>
      <c r="J11" s="7">
        <v>1</v>
      </c>
    </row>
    <row r="12" spans="1:17" x14ac:dyDescent="0.3">
      <c r="A12">
        <v>11</v>
      </c>
      <c r="B12">
        <v>0.67</v>
      </c>
      <c r="C12" s="2">
        <f t="shared" si="0"/>
        <v>0.43311895551257262</v>
      </c>
      <c r="D12" s="2">
        <f t="shared" si="1"/>
        <v>0.67308510638297869</v>
      </c>
      <c r="E12" s="2">
        <f t="shared" si="2"/>
        <v>0.91305125725338476</v>
      </c>
      <c r="F12" s="2">
        <f>+ABS(B11-Tabla1[[#This Row],[MEDICION]])</f>
        <v>0.16000000000000003</v>
      </c>
      <c r="G12">
        <f t="shared" si="3"/>
        <v>0</v>
      </c>
      <c r="H12" s="2">
        <f t="shared" si="4"/>
        <v>9.0227272727272684E-2</v>
      </c>
      <c r="I12" s="2">
        <f t="shared" si="5"/>
        <v>0.29491686363636349</v>
      </c>
      <c r="J12" s="7">
        <v>1</v>
      </c>
    </row>
    <row r="13" spans="1:17" x14ac:dyDescent="0.3">
      <c r="A13">
        <v>12</v>
      </c>
      <c r="B13">
        <v>0.78</v>
      </c>
      <c r="C13" s="2">
        <f t="shared" si="0"/>
        <v>0.43311895551257262</v>
      </c>
      <c r="D13" s="2">
        <f t="shared" si="1"/>
        <v>0.67308510638297869</v>
      </c>
      <c r="E13" s="2">
        <f t="shared" si="2"/>
        <v>0.91305125725338476</v>
      </c>
      <c r="F13" s="2">
        <f>+ABS(B12-Tabla1[[#This Row],[MEDICION]])</f>
        <v>0.10999999999999999</v>
      </c>
      <c r="G13">
        <f t="shared" si="3"/>
        <v>0</v>
      </c>
      <c r="H13" s="2">
        <f t="shared" si="4"/>
        <v>9.0227272727272684E-2</v>
      </c>
      <c r="I13" s="2">
        <f t="shared" si="5"/>
        <v>0.29491686363636349</v>
      </c>
      <c r="J13" s="7">
        <v>1</v>
      </c>
    </row>
    <row r="14" spans="1:17" x14ac:dyDescent="0.3">
      <c r="A14">
        <v>13</v>
      </c>
      <c r="B14">
        <v>0.57999999999999996</v>
      </c>
      <c r="C14" s="2">
        <f t="shared" si="0"/>
        <v>0.43311895551257262</v>
      </c>
      <c r="D14" s="2">
        <f t="shared" si="1"/>
        <v>0.67308510638297869</v>
      </c>
      <c r="E14" s="2">
        <f t="shared" si="2"/>
        <v>0.91305125725338476</v>
      </c>
      <c r="F14" s="2">
        <f>+ABS(B13-Tabla1[[#This Row],[MEDICION]])</f>
        <v>0.20000000000000007</v>
      </c>
      <c r="G14">
        <f t="shared" si="3"/>
        <v>0</v>
      </c>
      <c r="H14" s="2">
        <f t="shared" si="4"/>
        <v>9.0227272727272684E-2</v>
      </c>
      <c r="I14" s="2">
        <f t="shared" si="5"/>
        <v>0.29491686363636349</v>
      </c>
      <c r="J14" s="7">
        <v>1</v>
      </c>
    </row>
    <row r="15" spans="1:17" x14ac:dyDescent="0.3">
      <c r="A15">
        <v>14</v>
      </c>
      <c r="B15">
        <v>0.72</v>
      </c>
      <c r="C15" s="2">
        <f t="shared" si="0"/>
        <v>0.43311895551257262</v>
      </c>
      <c r="D15" s="2">
        <f t="shared" si="1"/>
        <v>0.67308510638297869</v>
      </c>
      <c r="E15" s="2">
        <f t="shared" si="2"/>
        <v>0.91305125725338476</v>
      </c>
      <c r="F15" s="2">
        <f>+ABS(B14-Tabla1[[#This Row],[MEDICION]])</f>
        <v>0.14000000000000001</v>
      </c>
      <c r="G15">
        <f t="shared" si="3"/>
        <v>0</v>
      </c>
      <c r="H15" s="2">
        <f t="shared" si="4"/>
        <v>9.0227272727272684E-2</v>
      </c>
      <c r="I15" s="2">
        <f t="shared" si="5"/>
        <v>0.29491686363636349</v>
      </c>
      <c r="J15" s="7">
        <v>1</v>
      </c>
    </row>
    <row r="16" spans="1:17" x14ac:dyDescent="0.3">
      <c r="A16">
        <v>15</v>
      </c>
      <c r="B16">
        <v>0.71</v>
      </c>
      <c r="C16" s="2">
        <f t="shared" si="0"/>
        <v>0.43311895551257262</v>
      </c>
      <c r="D16" s="2">
        <f t="shared" si="1"/>
        <v>0.67308510638297869</v>
      </c>
      <c r="E16" s="2">
        <f t="shared" si="2"/>
        <v>0.91305125725338476</v>
      </c>
      <c r="F16" s="2">
        <f>+ABS(B15-Tabla1[[#This Row],[MEDICION]])</f>
        <v>1.0000000000000009E-2</v>
      </c>
      <c r="G16">
        <f t="shared" si="3"/>
        <v>0</v>
      </c>
      <c r="H16" s="2">
        <f t="shared" si="4"/>
        <v>9.0227272727272684E-2</v>
      </c>
      <c r="I16" s="2">
        <f t="shared" si="5"/>
        <v>0.29491686363636349</v>
      </c>
      <c r="J16" s="7">
        <v>1</v>
      </c>
    </row>
    <row r="17" spans="1:10" x14ac:dyDescent="0.3">
      <c r="A17">
        <v>16</v>
      </c>
      <c r="B17">
        <v>0.57999999999999996</v>
      </c>
      <c r="C17" s="2">
        <f t="shared" si="0"/>
        <v>0.43311895551257262</v>
      </c>
      <c r="D17" s="2">
        <f t="shared" si="1"/>
        <v>0.67308510638297869</v>
      </c>
      <c r="E17" s="2">
        <f t="shared" si="2"/>
        <v>0.91305125725338476</v>
      </c>
      <c r="F17" s="2">
        <f>+ABS(B16-Tabla1[[#This Row],[MEDICION]])</f>
        <v>0.13</v>
      </c>
      <c r="G17">
        <f t="shared" si="3"/>
        <v>0</v>
      </c>
      <c r="H17" s="2">
        <f t="shared" si="4"/>
        <v>9.0227272727272684E-2</v>
      </c>
      <c r="I17" s="2">
        <f t="shared" si="5"/>
        <v>0.29491686363636349</v>
      </c>
      <c r="J17" s="7">
        <v>1</v>
      </c>
    </row>
    <row r="18" spans="1:10" x14ac:dyDescent="0.3">
      <c r="A18">
        <v>17</v>
      </c>
      <c r="B18">
        <v>0.71</v>
      </c>
      <c r="C18" s="2">
        <f t="shared" si="0"/>
        <v>0.43311895551257262</v>
      </c>
      <c r="D18" s="2">
        <f t="shared" si="1"/>
        <v>0.67308510638297869</v>
      </c>
      <c r="E18" s="2">
        <f t="shared" si="2"/>
        <v>0.91305125725338476</v>
      </c>
      <c r="F18" s="2">
        <f>+ABS(B17-Tabla1[[#This Row],[MEDICION]])</f>
        <v>0.13</v>
      </c>
      <c r="G18">
        <f t="shared" si="3"/>
        <v>0</v>
      </c>
      <c r="H18" s="2">
        <f t="shared" si="4"/>
        <v>9.0227272727272684E-2</v>
      </c>
      <c r="I18" s="2">
        <f t="shared" si="5"/>
        <v>0.29491686363636349</v>
      </c>
      <c r="J18" s="7">
        <v>1</v>
      </c>
    </row>
    <row r="19" spans="1:10" x14ac:dyDescent="0.3">
      <c r="A19">
        <v>18</v>
      </c>
      <c r="B19">
        <v>0.74</v>
      </c>
      <c r="C19" s="2">
        <f t="shared" si="0"/>
        <v>0.43311895551257262</v>
      </c>
      <c r="D19" s="2">
        <f t="shared" si="1"/>
        <v>0.67308510638297869</v>
      </c>
      <c r="E19" s="2">
        <f t="shared" si="2"/>
        <v>0.91305125725338476</v>
      </c>
      <c r="F19" s="2">
        <f>+ABS(B18-Tabla1[[#This Row],[MEDICION]])</f>
        <v>3.0000000000000027E-2</v>
      </c>
      <c r="G19">
        <f t="shared" si="3"/>
        <v>0</v>
      </c>
      <c r="H19" s="2">
        <f t="shared" si="4"/>
        <v>9.0227272727272684E-2</v>
      </c>
      <c r="I19" s="2">
        <f t="shared" si="5"/>
        <v>0.29491686363636349</v>
      </c>
      <c r="J19" s="7">
        <v>1</v>
      </c>
    </row>
    <row r="20" spans="1:10" x14ac:dyDescent="0.3">
      <c r="A20">
        <v>19</v>
      </c>
      <c r="B20">
        <v>0.9</v>
      </c>
      <c r="C20" s="2">
        <f t="shared" si="0"/>
        <v>0.43311895551257262</v>
      </c>
      <c r="D20" s="2">
        <f t="shared" si="1"/>
        <v>0.67308510638297869</v>
      </c>
      <c r="E20" s="2">
        <f t="shared" si="2"/>
        <v>0.91305125725338476</v>
      </c>
      <c r="F20" s="2">
        <f>+ABS(B19-Tabla1[[#This Row],[MEDICION]])</f>
        <v>0.16000000000000003</v>
      </c>
      <c r="G20">
        <f t="shared" si="3"/>
        <v>0</v>
      </c>
      <c r="H20" s="2">
        <f t="shared" si="4"/>
        <v>9.0227272727272684E-2</v>
      </c>
      <c r="I20" s="2">
        <f t="shared" si="5"/>
        <v>0.29491686363636349</v>
      </c>
      <c r="J20" s="7">
        <v>1</v>
      </c>
    </row>
    <row r="21" spans="1:10" x14ac:dyDescent="0.3">
      <c r="A21">
        <v>20</v>
      </c>
      <c r="B21">
        <v>0.67</v>
      </c>
      <c r="C21" s="2">
        <f t="shared" si="0"/>
        <v>0.43311895551257262</v>
      </c>
      <c r="D21" s="2">
        <f t="shared" si="1"/>
        <v>0.67308510638297869</v>
      </c>
      <c r="E21" s="2">
        <f t="shared" si="2"/>
        <v>0.91305125725338476</v>
      </c>
      <c r="F21" s="2">
        <f>+ABS(B20-Tabla1[[#This Row],[MEDICION]])</f>
        <v>0.22999999999999998</v>
      </c>
      <c r="G21">
        <f t="shared" si="3"/>
        <v>0</v>
      </c>
      <c r="H21" s="2">
        <f t="shared" si="4"/>
        <v>9.0227272727272684E-2</v>
      </c>
      <c r="I21" s="2">
        <f t="shared" si="5"/>
        <v>0.29491686363636349</v>
      </c>
      <c r="J21" s="7">
        <v>1</v>
      </c>
    </row>
    <row r="22" spans="1:10" x14ac:dyDescent="0.3">
      <c r="A22">
        <v>21</v>
      </c>
      <c r="B22">
        <v>0.72</v>
      </c>
      <c r="C22" s="2">
        <f t="shared" si="0"/>
        <v>0.43311895551257262</v>
      </c>
      <c r="D22" s="2">
        <f t="shared" si="1"/>
        <v>0.67308510638297869</v>
      </c>
      <c r="E22" s="2">
        <f t="shared" si="2"/>
        <v>0.91305125725338476</v>
      </c>
      <c r="F22" s="2">
        <f>+ABS(B21-Tabla1[[#This Row],[MEDICION]])</f>
        <v>4.9999999999999933E-2</v>
      </c>
      <c r="G22">
        <f t="shared" si="3"/>
        <v>0</v>
      </c>
      <c r="H22" s="2">
        <f t="shared" si="4"/>
        <v>9.0227272727272684E-2</v>
      </c>
      <c r="I22" s="2">
        <f t="shared" si="5"/>
        <v>0.29491686363636349</v>
      </c>
      <c r="J22" s="7">
        <v>1</v>
      </c>
    </row>
    <row r="23" spans="1:10" x14ac:dyDescent="0.3">
      <c r="A23">
        <v>22</v>
      </c>
      <c r="B23">
        <v>0.56999999999999995</v>
      </c>
      <c r="C23" s="2">
        <f t="shared" si="0"/>
        <v>0.43311895551257262</v>
      </c>
      <c r="D23" s="2">
        <f t="shared" si="1"/>
        <v>0.67308510638297869</v>
      </c>
      <c r="E23" s="2">
        <f t="shared" si="2"/>
        <v>0.91305125725338476</v>
      </c>
      <c r="F23" s="2">
        <f>+ABS(B22-Tabla1[[#This Row],[MEDICION]])</f>
        <v>0.15000000000000002</v>
      </c>
      <c r="G23">
        <f t="shared" si="3"/>
        <v>0</v>
      </c>
      <c r="H23" s="2">
        <f t="shared" si="4"/>
        <v>9.0227272727272684E-2</v>
      </c>
      <c r="I23" s="2">
        <f t="shared" si="5"/>
        <v>0.29491686363636349</v>
      </c>
      <c r="J23" s="7">
        <v>1</v>
      </c>
    </row>
    <row r="24" spans="1:10" x14ac:dyDescent="0.3">
      <c r="A24">
        <v>23</v>
      </c>
      <c r="B24">
        <v>0.53</v>
      </c>
      <c r="C24" s="2">
        <f t="shared" si="0"/>
        <v>0.43311895551257262</v>
      </c>
      <c r="D24" s="2">
        <f t="shared" si="1"/>
        <v>0.67308510638297869</v>
      </c>
      <c r="E24" s="2">
        <f t="shared" si="2"/>
        <v>0.91305125725338476</v>
      </c>
      <c r="F24" s="2">
        <f>+ABS(B23-Tabla1[[#This Row],[MEDICION]])</f>
        <v>3.9999999999999925E-2</v>
      </c>
      <c r="G24">
        <f t="shared" si="3"/>
        <v>0</v>
      </c>
      <c r="H24" s="2">
        <f t="shared" si="4"/>
        <v>9.0227272727272684E-2</v>
      </c>
      <c r="I24" s="2">
        <f t="shared" si="5"/>
        <v>0.29491686363636349</v>
      </c>
      <c r="J24" s="7">
        <v>1</v>
      </c>
    </row>
    <row r="25" spans="1:10" x14ac:dyDescent="0.3">
      <c r="A25">
        <v>24</v>
      </c>
      <c r="B25">
        <v>0.84</v>
      </c>
      <c r="C25" s="2">
        <f t="shared" si="0"/>
        <v>0.43311895551257262</v>
      </c>
      <c r="D25" s="2">
        <f t="shared" si="1"/>
        <v>0.67308510638297869</v>
      </c>
      <c r="E25" s="2">
        <f t="shared" si="2"/>
        <v>0.91305125725338476</v>
      </c>
      <c r="F25" s="2">
        <f>+ABS(B24-Tabla1[[#This Row],[MEDICION]])</f>
        <v>0.30999999999999994</v>
      </c>
      <c r="G25">
        <f t="shared" si="3"/>
        <v>0</v>
      </c>
      <c r="H25" s="2">
        <f t="shared" si="4"/>
        <v>9.0227272727272684E-2</v>
      </c>
      <c r="I25" s="2">
        <f t="shared" si="5"/>
        <v>0.29491686363636349</v>
      </c>
      <c r="J25" s="7">
        <v>1</v>
      </c>
    </row>
    <row r="26" spans="1:10" x14ac:dyDescent="0.3">
      <c r="A26">
        <v>25</v>
      </c>
      <c r="B26">
        <v>0.79</v>
      </c>
      <c r="C26" s="2">
        <f t="shared" si="0"/>
        <v>0.43311895551257262</v>
      </c>
      <c r="D26" s="2">
        <f t="shared" si="1"/>
        <v>0.67308510638297869</v>
      </c>
      <c r="E26" s="2">
        <f t="shared" si="2"/>
        <v>0.91305125725338476</v>
      </c>
      <c r="F26" s="2">
        <f>+ABS(B25-Tabla1[[#This Row],[MEDICION]])</f>
        <v>4.9999999999999933E-2</v>
      </c>
      <c r="G26">
        <f t="shared" si="3"/>
        <v>0</v>
      </c>
      <c r="H26" s="2">
        <f t="shared" si="4"/>
        <v>9.0227272727272684E-2</v>
      </c>
      <c r="I26" s="2">
        <f t="shared" si="5"/>
        <v>0.29491686363636349</v>
      </c>
      <c r="J26" s="7">
        <v>1</v>
      </c>
    </row>
    <row r="27" spans="1:10" x14ac:dyDescent="0.3">
      <c r="A27">
        <v>26</v>
      </c>
      <c r="B27">
        <v>0.87</v>
      </c>
      <c r="C27" s="2">
        <f t="shared" si="0"/>
        <v>0.43311895551257262</v>
      </c>
      <c r="D27" s="2">
        <f t="shared" si="1"/>
        <v>0.67308510638297869</v>
      </c>
      <c r="E27" s="2">
        <f t="shared" si="2"/>
        <v>0.91305125725338476</v>
      </c>
      <c r="F27" s="2">
        <f>+ABS(B26-Tabla1[[#This Row],[MEDICION]])</f>
        <v>7.999999999999996E-2</v>
      </c>
      <c r="G27">
        <f t="shared" si="3"/>
        <v>0</v>
      </c>
      <c r="H27" s="2">
        <f t="shared" si="4"/>
        <v>9.0227272727272684E-2</v>
      </c>
      <c r="I27" s="2">
        <f t="shared" si="5"/>
        <v>0.29491686363636349</v>
      </c>
      <c r="J27" s="7">
        <v>1</v>
      </c>
    </row>
    <row r="28" spans="1:10" x14ac:dyDescent="0.3">
      <c r="A28">
        <v>27</v>
      </c>
      <c r="B28">
        <v>0.69</v>
      </c>
      <c r="C28" s="2">
        <f t="shared" si="0"/>
        <v>0.43311895551257262</v>
      </c>
      <c r="D28" s="2">
        <f t="shared" si="1"/>
        <v>0.67308510638297869</v>
      </c>
      <c r="E28" s="2">
        <f t="shared" si="2"/>
        <v>0.91305125725338476</v>
      </c>
      <c r="F28" s="2">
        <f>+ABS(B27-Tabla1[[#This Row],[MEDICION]])</f>
        <v>0.18000000000000005</v>
      </c>
      <c r="G28">
        <f t="shared" si="3"/>
        <v>0</v>
      </c>
      <c r="H28" s="2">
        <f t="shared" si="4"/>
        <v>9.0227272727272684E-2</v>
      </c>
      <c r="I28" s="2">
        <f t="shared" si="5"/>
        <v>0.29491686363636349</v>
      </c>
      <c r="J28" s="7">
        <v>1</v>
      </c>
    </row>
    <row r="29" spans="1:10" x14ac:dyDescent="0.3">
      <c r="A29">
        <v>28</v>
      </c>
      <c r="B29">
        <v>0.63</v>
      </c>
      <c r="C29" s="2">
        <f t="shared" si="0"/>
        <v>0.43311895551257262</v>
      </c>
      <c r="D29" s="2">
        <f t="shared" si="1"/>
        <v>0.67308510638297869</v>
      </c>
      <c r="E29" s="2">
        <f t="shared" si="2"/>
        <v>0.91305125725338476</v>
      </c>
      <c r="F29" s="2">
        <f>+ABS(B28-Tabla1[[#This Row],[MEDICION]])</f>
        <v>5.9999999999999942E-2</v>
      </c>
      <c r="G29">
        <f t="shared" si="3"/>
        <v>0</v>
      </c>
      <c r="H29" s="2">
        <f t="shared" si="4"/>
        <v>9.0227272727272684E-2</v>
      </c>
      <c r="I29" s="2">
        <f t="shared" si="5"/>
        <v>0.29491686363636349</v>
      </c>
      <c r="J29" s="7">
        <v>1</v>
      </c>
    </row>
    <row r="30" spans="1:10" x14ac:dyDescent="0.3">
      <c r="A30">
        <v>29</v>
      </c>
      <c r="B30">
        <v>0.87</v>
      </c>
      <c r="C30" s="2">
        <f t="shared" si="0"/>
        <v>0.43311895551257262</v>
      </c>
      <c r="D30" s="2">
        <f t="shared" si="1"/>
        <v>0.67308510638297869</v>
      </c>
      <c r="E30" s="2">
        <f t="shared" si="2"/>
        <v>0.91305125725338476</v>
      </c>
      <c r="F30" s="2">
        <f>+ABS(B29-Tabla1[[#This Row],[MEDICION]])</f>
        <v>0.24</v>
      </c>
      <c r="G30">
        <f t="shared" si="3"/>
        <v>0</v>
      </c>
      <c r="H30" s="2">
        <f t="shared" si="4"/>
        <v>9.0227272727272684E-2</v>
      </c>
      <c r="I30" s="2">
        <f t="shared" si="5"/>
        <v>0.29491686363636349</v>
      </c>
      <c r="J30" s="7">
        <v>1</v>
      </c>
    </row>
    <row r="31" spans="1:10" x14ac:dyDescent="0.3">
      <c r="A31">
        <v>30</v>
      </c>
      <c r="B31">
        <v>0.88</v>
      </c>
      <c r="C31" s="2">
        <f t="shared" si="0"/>
        <v>0.43311895551257262</v>
      </c>
      <c r="D31" s="2">
        <f t="shared" si="1"/>
        <v>0.67308510638297869</v>
      </c>
      <c r="E31" s="2">
        <f t="shared" si="2"/>
        <v>0.91305125725338476</v>
      </c>
      <c r="F31" s="2">
        <f>+ABS(B30-Tabla1[[#This Row],[MEDICION]])</f>
        <v>1.0000000000000009E-2</v>
      </c>
      <c r="G31">
        <f t="shared" si="3"/>
        <v>0</v>
      </c>
      <c r="H31" s="2">
        <f t="shared" si="4"/>
        <v>9.0227272727272684E-2</v>
      </c>
      <c r="I31" s="2">
        <f t="shared" si="5"/>
        <v>0.29491686363636349</v>
      </c>
      <c r="J31" s="7">
        <v>1</v>
      </c>
    </row>
    <row r="32" spans="1:10" x14ac:dyDescent="0.3">
      <c r="A32">
        <v>31</v>
      </c>
      <c r="B32">
        <v>0.55000000000000004</v>
      </c>
      <c r="C32" s="2">
        <f t="shared" si="0"/>
        <v>0.43311895551257262</v>
      </c>
      <c r="D32" s="2">
        <f t="shared" si="1"/>
        <v>0.67308510638297869</v>
      </c>
      <c r="E32" s="2">
        <f t="shared" si="2"/>
        <v>0.91305125725338476</v>
      </c>
      <c r="F32" s="2">
        <f>+ABS(B31-Tabla1[[#This Row],[MEDICION]])</f>
        <v>0.32999999999999996</v>
      </c>
      <c r="G32">
        <f t="shared" si="3"/>
        <v>0</v>
      </c>
      <c r="H32" s="2">
        <f t="shared" si="4"/>
        <v>9.0227272727272684E-2</v>
      </c>
      <c r="I32" s="2">
        <f t="shared" si="5"/>
        <v>0.29491686363636349</v>
      </c>
      <c r="J32" s="7">
        <v>1</v>
      </c>
    </row>
    <row r="33" spans="1:10" x14ac:dyDescent="0.3">
      <c r="A33">
        <v>32</v>
      </c>
      <c r="B33">
        <v>0.73</v>
      </c>
      <c r="C33" s="2">
        <f t="shared" si="0"/>
        <v>0.43311895551257262</v>
      </c>
      <c r="D33" s="2">
        <f t="shared" si="1"/>
        <v>0.67308510638297869</v>
      </c>
      <c r="E33" s="2">
        <f t="shared" si="2"/>
        <v>0.91305125725338476</v>
      </c>
      <c r="F33" s="2">
        <f>+ABS(B32-Tabla1[[#This Row],[MEDICION]])</f>
        <v>0.17999999999999994</v>
      </c>
      <c r="G33">
        <f t="shared" si="3"/>
        <v>0</v>
      </c>
      <c r="H33" s="2">
        <f t="shared" si="4"/>
        <v>9.0227272727272684E-2</v>
      </c>
      <c r="I33" s="2">
        <f t="shared" si="5"/>
        <v>0.29491686363636349</v>
      </c>
      <c r="J33" s="7">
        <v>1</v>
      </c>
    </row>
    <row r="34" spans="1:10" x14ac:dyDescent="0.3">
      <c r="A34">
        <v>33</v>
      </c>
      <c r="B34">
        <v>0.83</v>
      </c>
      <c r="C34" s="2">
        <f t="shared" ref="C34:C65" si="6">+$M$1-(3*($M$2/$M$3))</f>
        <v>0.43311895551257262</v>
      </c>
      <c r="D34" s="2">
        <f t="shared" ref="D34:D65" si="7">+$M$1</f>
        <v>0.67308510638297869</v>
      </c>
      <c r="E34" s="2">
        <f t="shared" ref="E34:E65" si="8">+$M$1+(3*($M$2/$M$3))</f>
        <v>0.91305125725338476</v>
      </c>
      <c r="F34" s="2">
        <f>+ABS(B33-Tabla1[[#This Row],[MEDICION]])</f>
        <v>9.9999999999999978E-2</v>
      </c>
      <c r="G34">
        <f t="shared" ref="G34:G65" si="9">+$M$4*$M$2</f>
        <v>0</v>
      </c>
      <c r="H34" s="2">
        <f t="shared" ref="H34:H65" si="10">+$M$2</f>
        <v>9.0227272727272684E-2</v>
      </c>
      <c r="I34" s="2">
        <f t="shared" ref="I34:I65" si="11">+$M$5*$M$2</f>
        <v>0.29491686363636349</v>
      </c>
      <c r="J34" s="7">
        <v>1</v>
      </c>
    </row>
    <row r="35" spans="1:10" x14ac:dyDescent="0.3">
      <c r="A35">
        <v>34</v>
      </c>
      <c r="B35">
        <v>0.65</v>
      </c>
      <c r="C35" s="2">
        <f t="shared" si="6"/>
        <v>0.43311895551257262</v>
      </c>
      <c r="D35" s="2">
        <f t="shared" si="7"/>
        <v>0.67308510638297869</v>
      </c>
      <c r="E35" s="2">
        <f t="shared" si="8"/>
        <v>0.91305125725338476</v>
      </c>
      <c r="F35" s="2">
        <f>+ABS(B34-Tabla1[[#This Row],[MEDICION]])</f>
        <v>0.17999999999999994</v>
      </c>
      <c r="G35">
        <f t="shared" si="9"/>
        <v>0</v>
      </c>
      <c r="H35" s="2">
        <f t="shared" si="10"/>
        <v>9.0227272727272684E-2</v>
      </c>
      <c r="I35" s="2">
        <f t="shared" si="11"/>
        <v>0.29491686363636349</v>
      </c>
      <c r="J35" s="7">
        <v>1</v>
      </c>
    </row>
    <row r="36" spans="1:10" x14ac:dyDescent="0.3">
      <c r="A36">
        <v>35</v>
      </c>
      <c r="B36">
        <v>0.86</v>
      </c>
      <c r="C36" s="2">
        <f t="shared" si="6"/>
        <v>0.43311895551257262</v>
      </c>
      <c r="D36" s="2">
        <f t="shared" si="7"/>
        <v>0.67308510638297869</v>
      </c>
      <c r="E36" s="2">
        <f t="shared" si="8"/>
        <v>0.91305125725338476</v>
      </c>
      <c r="F36" s="2">
        <f>+ABS(B35-Tabla1[[#This Row],[MEDICION]])</f>
        <v>0.20999999999999996</v>
      </c>
      <c r="G36">
        <f t="shared" si="9"/>
        <v>0</v>
      </c>
      <c r="H36" s="2">
        <f t="shared" si="10"/>
        <v>9.0227272727272684E-2</v>
      </c>
      <c r="I36" s="2">
        <f t="shared" si="11"/>
        <v>0.29491686363636349</v>
      </c>
      <c r="J36" s="7">
        <v>1</v>
      </c>
    </row>
    <row r="37" spans="1:10" x14ac:dyDescent="0.3">
      <c r="A37">
        <v>36</v>
      </c>
      <c r="B37">
        <v>0.68</v>
      </c>
      <c r="C37" s="2">
        <f t="shared" si="6"/>
        <v>0.43311895551257262</v>
      </c>
      <c r="D37" s="2">
        <f t="shared" si="7"/>
        <v>0.67308510638297869</v>
      </c>
      <c r="E37" s="2">
        <f t="shared" si="8"/>
        <v>0.91305125725338476</v>
      </c>
      <c r="F37" s="2">
        <f>+ABS(B36-Tabla1[[#This Row],[MEDICION]])</f>
        <v>0.17999999999999994</v>
      </c>
      <c r="G37">
        <f t="shared" si="9"/>
        <v>0</v>
      </c>
      <c r="H37" s="2">
        <f t="shared" si="10"/>
        <v>9.0227272727272684E-2</v>
      </c>
      <c r="I37" s="2">
        <f t="shared" si="11"/>
        <v>0.29491686363636349</v>
      </c>
      <c r="J37" s="7">
        <v>1</v>
      </c>
    </row>
    <row r="38" spans="1:10" x14ac:dyDescent="0.3">
      <c r="A38">
        <v>37</v>
      </c>
      <c r="B38">
        <v>0.78</v>
      </c>
      <c r="C38" s="2">
        <f t="shared" si="6"/>
        <v>0.43311895551257262</v>
      </c>
      <c r="D38" s="2">
        <f t="shared" si="7"/>
        <v>0.67308510638297869</v>
      </c>
      <c r="E38" s="2">
        <f t="shared" si="8"/>
        <v>0.91305125725338476</v>
      </c>
      <c r="F38" s="2">
        <f>+ABS(B37-Tabla1[[#This Row],[MEDICION]])</f>
        <v>9.9999999999999978E-2</v>
      </c>
      <c r="G38">
        <f t="shared" si="9"/>
        <v>0</v>
      </c>
      <c r="H38" s="2">
        <f t="shared" si="10"/>
        <v>9.0227272727272684E-2</v>
      </c>
      <c r="I38" s="2">
        <f t="shared" si="11"/>
        <v>0.29491686363636349</v>
      </c>
      <c r="J38" s="7">
        <v>1</v>
      </c>
    </row>
    <row r="39" spans="1:10" x14ac:dyDescent="0.3">
      <c r="A39">
        <v>38</v>
      </c>
      <c r="B39">
        <v>0.79</v>
      </c>
      <c r="C39" s="2">
        <f t="shared" si="6"/>
        <v>0.43311895551257262</v>
      </c>
      <c r="D39" s="2">
        <f t="shared" si="7"/>
        <v>0.67308510638297869</v>
      </c>
      <c r="E39" s="2">
        <f t="shared" si="8"/>
        <v>0.91305125725338476</v>
      </c>
      <c r="F39" s="2">
        <f>+ABS(B38-Tabla1[[#This Row],[MEDICION]])</f>
        <v>1.0000000000000009E-2</v>
      </c>
      <c r="G39">
        <f t="shared" si="9"/>
        <v>0</v>
      </c>
      <c r="H39" s="2">
        <f t="shared" si="10"/>
        <v>9.0227272727272684E-2</v>
      </c>
      <c r="I39" s="2">
        <f t="shared" si="11"/>
        <v>0.29491686363636349</v>
      </c>
      <c r="J39" s="7">
        <v>1</v>
      </c>
    </row>
    <row r="40" spans="1:10" x14ac:dyDescent="0.3">
      <c r="A40">
        <v>39</v>
      </c>
      <c r="B40">
        <v>0.57999999999999996</v>
      </c>
      <c r="C40" s="2">
        <f t="shared" si="6"/>
        <v>0.43311895551257262</v>
      </c>
      <c r="D40" s="2">
        <f t="shared" si="7"/>
        <v>0.67308510638297869</v>
      </c>
      <c r="E40" s="2">
        <f t="shared" si="8"/>
        <v>0.91305125725338476</v>
      </c>
      <c r="F40" s="2">
        <f>+ABS(B39-Tabla1[[#This Row],[MEDICION]])</f>
        <v>0.21000000000000008</v>
      </c>
      <c r="G40">
        <f t="shared" si="9"/>
        <v>0</v>
      </c>
      <c r="H40" s="2">
        <f t="shared" si="10"/>
        <v>9.0227272727272684E-2</v>
      </c>
      <c r="I40" s="2">
        <f t="shared" si="11"/>
        <v>0.29491686363636349</v>
      </c>
      <c r="J40" s="7">
        <v>1</v>
      </c>
    </row>
    <row r="41" spans="1:10" x14ac:dyDescent="0.3">
      <c r="A41">
        <v>40</v>
      </c>
      <c r="B41">
        <v>0.69</v>
      </c>
      <c r="C41" s="2">
        <f t="shared" si="6"/>
        <v>0.43311895551257262</v>
      </c>
      <c r="D41" s="2">
        <f t="shared" si="7"/>
        <v>0.67308510638297869</v>
      </c>
      <c r="E41" s="2">
        <f t="shared" si="8"/>
        <v>0.91305125725338476</v>
      </c>
      <c r="F41" s="2">
        <f>+ABS(B40-Tabla1[[#This Row],[MEDICION]])</f>
        <v>0.10999999999999999</v>
      </c>
      <c r="G41">
        <f t="shared" si="9"/>
        <v>0</v>
      </c>
      <c r="H41" s="2">
        <f t="shared" si="10"/>
        <v>9.0227272727272684E-2</v>
      </c>
      <c r="I41" s="2">
        <f t="shared" si="11"/>
        <v>0.29491686363636349</v>
      </c>
      <c r="J41" s="7">
        <v>1</v>
      </c>
    </row>
    <row r="42" spans="1:10" x14ac:dyDescent="0.3">
      <c r="A42">
        <v>41</v>
      </c>
      <c r="B42">
        <v>0.67</v>
      </c>
      <c r="C42" s="2">
        <f t="shared" si="6"/>
        <v>0.43311895551257262</v>
      </c>
      <c r="D42" s="2">
        <f t="shared" si="7"/>
        <v>0.67308510638297869</v>
      </c>
      <c r="E42" s="2">
        <f t="shared" si="8"/>
        <v>0.91305125725338476</v>
      </c>
      <c r="F42" s="2">
        <f>+ABS(B41-Tabla1[[#This Row],[MEDICION]])</f>
        <v>1.9999999999999907E-2</v>
      </c>
      <c r="G42">
        <f t="shared" si="9"/>
        <v>0</v>
      </c>
      <c r="H42" s="2">
        <f t="shared" si="10"/>
        <v>9.0227272727272684E-2</v>
      </c>
      <c r="I42" s="2">
        <f t="shared" si="11"/>
        <v>0.29491686363636349</v>
      </c>
      <c r="J42" s="7">
        <v>1</v>
      </c>
    </row>
    <row r="43" spans="1:10" x14ac:dyDescent="0.3">
      <c r="A43">
        <v>42</v>
      </c>
      <c r="B43">
        <v>0.65</v>
      </c>
      <c r="C43" s="2">
        <f t="shared" si="6"/>
        <v>0.43311895551257262</v>
      </c>
      <c r="D43" s="2">
        <f t="shared" si="7"/>
        <v>0.67308510638297869</v>
      </c>
      <c r="E43" s="2">
        <f t="shared" si="8"/>
        <v>0.91305125725338476</v>
      </c>
      <c r="F43" s="2">
        <f>+ABS(B42-Tabla1[[#This Row],[MEDICION]])</f>
        <v>2.0000000000000018E-2</v>
      </c>
      <c r="G43">
        <f t="shared" si="9"/>
        <v>0</v>
      </c>
      <c r="H43" s="2">
        <f t="shared" si="10"/>
        <v>9.0227272727272684E-2</v>
      </c>
      <c r="I43" s="2">
        <f t="shared" si="11"/>
        <v>0.29491686363636349</v>
      </c>
      <c r="J43" s="7">
        <v>1</v>
      </c>
    </row>
    <row r="44" spans="1:10" x14ac:dyDescent="0.3">
      <c r="A44">
        <v>43</v>
      </c>
      <c r="B44">
        <v>0.57999999999999996</v>
      </c>
      <c r="C44" s="2">
        <f t="shared" si="6"/>
        <v>0.43311895551257262</v>
      </c>
      <c r="D44" s="2">
        <f t="shared" si="7"/>
        <v>0.67308510638297869</v>
      </c>
      <c r="E44" s="2">
        <f t="shared" si="8"/>
        <v>0.91305125725338476</v>
      </c>
      <c r="F44" s="2">
        <f>+ABS(B43-Tabla1[[#This Row],[MEDICION]])</f>
        <v>7.0000000000000062E-2</v>
      </c>
      <c r="G44">
        <f t="shared" si="9"/>
        <v>0</v>
      </c>
      <c r="H44" s="2">
        <f t="shared" si="10"/>
        <v>9.0227272727272684E-2</v>
      </c>
      <c r="I44" s="2">
        <f t="shared" si="11"/>
        <v>0.29491686363636349</v>
      </c>
      <c r="J44" s="7">
        <v>1</v>
      </c>
    </row>
    <row r="45" spans="1:10" x14ac:dyDescent="0.3">
      <c r="A45">
        <v>44</v>
      </c>
      <c r="B45">
        <v>0.77</v>
      </c>
      <c r="C45" s="2">
        <f t="shared" si="6"/>
        <v>0.43311895551257262</v>
      </c>
      <c r="D45" s="2">
        <f t="shared" si="7"/>
        <v>0.67308510638297869</v>
      </c>
      <c r="E45" s="2">
        <f t="shared" si="8"/>
        <v>0.91305125725338476</v>
      </c>
      <c r="F45" s="2">
        <f>+ABS(B44-Tabla1[[#This Row],[MEDICION]])</f>
        <v>0.19000000000000006</v>
      </c>
      <c r="G45">
        <f t="shared" si="9"/>
        <v>0</v>
      </c>
      <c r="H45" s="2">
        <f t="shared" si="10"/>
        <v>9.0227272727272684E-2</v>
      </c>
      <c r="I45" s="2">
        <f t="shared" si="11"/>
        <v>0.29491686363636349</v>
      </c>
      <c r="J45" s="7">
        <v>1</v>
      </c>
    </row>
    <row r="46" spans="1:10" x14ac:dyDescent="0.3">
      <c r="A46">
        <v>45</v>
      </c>
      <c r="B46">
        <v>0.61</v>
      </c>
      <c r="C46" s="2">
        <f t="shared" si="6"/>
        <v>0.43311895551257262</v>
      </c>
      <c r="D46" s="2">
        <f t="shared" si="7"/>
        <v>0.67308510638297869</v>
      </c>
      <c r="E46" s="2">
        <f t="shared" si="8"/>
        <v>0.91305125725338476</v>
      </c>
      <c r="F46" s="2">
        <f>+ABS(B45-Tabla1[[#This Row],[MEDICION]])</f>
        <v>0.16000000000000003</v>
      </c>
      <c r="G46">
        <f t="shared" si="9"/>
        <v>0</v>
      </c>
      <c r="H46" s="2">
        <f t="shared" si="10"/>
        <v>9.0227272727272684E-2</v>
      </c>
      <c r="I46" s="2">
        <f t="shared" si="11"/>
        <v>0.29491686363636349</v>
      </c>
      <c r="J46" s="7">
        <v>1</v>
      </c>
    </row>
    <row r="47" spans="1:10" x14ac:dyDescent="0.3">
      <c r="A47">
        <v>46</v>
      </c>
      <c r="B47">
        <v>0.63</v>
      </c>
      <c r="C47" s="2">
        <f t="shared" si="6"/>
        <v>0.43311895551257262</v>
      </c>
      <c r="D47" s="2">
        <f t="shared" si="7"/>
        <v>0.67308510638297869</v>
      </c>
      <c r="E47" s="2">
        <f t="shared" si="8"/>
        <v>0.91305125725338476</v>
      </c>
      <c r="F47" s="2">
        <f>+ABS(B46-Tabla1[[#This Row],[MEDICION]])</f>
        <v>2.0000000000000018E-2</v>
      </c>
      <c r="G47">
        <f t="shared" si="9"/>
        <v>0</v>
      </c>
      <c r="H47" s="2">
        <f t="shared" si="10"/>
        <v>9.0227272727272684E-2</v>
      </c>
      <c r="I47" s="2">
        <f t="shared" si="11"/>
        <v>0.29491686363636349</v>
      </c>
      <c r="J47" s="7">
        <v>1</v>
      </c>
    </row>
    <row r="48" spans="1:10" x14ac:dyDescent="0.3">
      <c r="A48">
        <v>47</v>
      </c>
      <c r="B48">
        <v>0.59</v>
      </c>
      <c r="C48" s="2">
        <f t="shared" si="6"/>
        <v>0.43311895551257262</v>
      </c>
      <c r="D48" s="2">
        <f t="shared" si="7"/>
        <v>0.67308510638297869</v>
      </c>
      <c r="E48" s="2">
        <f t="shared" si="8"/>
        <v>0.91305125725338476</v>
      </c>
      <c r="F48" s="2">
        <f>+ABS(B47-Tabla1[[#This Row],[MEDICION]])</f>
        <v>4.0000000000000036E-2</v>
      </c>
      <c r="G48">
        <f t="shared" si="9"/>
        <v>0</v>
      </c>
      <c r="H48" s="2">
        <f t="shared" si="10"/>
        <v>9.0227272727272684E-2</v>
      </c>
      <c r="I48" s="2">
        <f t="shared" si="11"/>
        <v>0.29491686363636349</v>
      </c>
      <c r="J48" s="7">
        <v>1</v>
      </c>
    </row>
    <row r="49" spans="1:10" x14ac:dyDescent="0.3">
      <c r="A49">
        <v>48</v>
      </c>
      <c r="B49">
        <v>0.6</v>
      </c>
      <c r="C49" s="2">
        <f t="shared" si="6"/>
        <v>0.43311895551257262</v>
      </c>
      <c r="D49" s="2">
        <f t="shared" si="7"/>
        <v>0.67308510638297869</v>
      </c>
      <c r="E49" s="2">
        <f t="shared" si="8"/>
        <v>0.91305125725338476</v>
      </c>
      <c r="F49" s="2">
        <f>+ABS(B48-Tabla1[[#This Row],[MEDICION]])</f>
        <v>1.0000000000000009E-2</v>
      </c>
      <c r="G49">
        <f t="shared" si="9"/>
        <v>0</v>
      </c>
      <c r="H49" s="2">
        <f t="shared" si="10"/>
        <v>9.0227272727272684E-2</v>
      </c>
      <c r="I49" s="2">
        <f t="shared" si="11"/>
        <v>0.29491686363636349</v>
      </c>
      <c r="J49" s="7">
        <v>1</v>
      </c>
    </row>
    <row r="50" spans="1:10" x14ac:dyDescent="0.3">
      <c r="A50">
        <v>49</v>
      </c>
      <c r="B50">
        <v>0.56000000000000005</v>
      </c>
      <c r="C50" s="2">
        <f t="shared" si="6"/>
        <v>0.43311895551257262</v>
      </c>
      <c r="D50" s="2">
        <f t="shared" si="7"/>
        <v>0.67308510638297869</v>
      </c>
      <c r="E50" s="2">
        <f t="shared" si="8"/>
        <v>0.91305125725338476</v>
      </c>
      <c r="F50" s="2">
        <f>+ABS(B49-Tabla1[[#This Row],[MEDICION]])</f>
        <v>3.9999999999999925E-2</v>
      </c>
      <c r="G50">
        <f t="shared" si="9"/>
        <v>0</v>
      </c>
      <c r="H50" s="2">
        <f t="shared" si="10"/>
        <v>9.0227272727272684E-2</v>
      </c>
      <c r="I50" s="2">
        <f t="shared" si="11"/>
        <v>0.29491686363636349</v>
      </c>
      <c r="J50" s="7">
        <v>1</v>
      </c>
    </row>
    <row r="51" spans="1:10" x14ac:dyDescent="0.3">
      <c r="A51">
        <v>50</v>
      </c>
      <c r="B51">
        <v>0.57999999999999996</v>
      </c>
      <c r="C51" s="2">
        <f t="shared" si="6"/>
        <v>0.43311895551257262</v>
      </c>
      <c r="D51" s="2">
        <f t="shared" si="7"/>
        <v>0.67308510638297869</v>
      </c>
      <c r="E51" s="2">
        <f t="shared" si="8"/>
        <v>0.91305125725338476</v>
      </c>
      <c r="F51" s="2">
        <f>+ABS(B50-Tabla1[[#This Row],[MEDICION]])</f>
        <v>1.9999999999999907E-2</v>
      </c>
      <c r="G51">
        <f t="shared" si="9"/>
        <v>0</v>
      </c>
      <c r="H51" s="2">
        <f t="shared" si="10"/>
        <v>9.0227272727272684E-2</v>
      </c>
      <c r="I51" s="2">
        <f t="shared" si="11"/>
        <v>0.29491686363636349</v>
      </c>
      <c r="J51" s="7">
        <v>1</v>
      </c>
    </row>
    <row r="52" spans="1:10" x14ac:dyDescent="0.3">
      <c r="A52">
        <v>51</v>
      </c>
      <c r="B52">
        <v>0.63</v>
      </c>
      <c r="C52" s="2">
        <f t="shared" si="6"/>
        <v>0.43311895551257262</v>
      </c>
      <c r="D52" s="2">
        <f t="shared" si="7"/>
        <v>0.67308510638297869</v>
      </c>
      <c r="E52" s="2">
        <f t="shared" si="8"/>
        <v>0.91305125725338476</v>
      </c>
      <c r="F52" s="2">
        <f>+ABS(B51-Tabla1[[#This Row],[MEDICION]])</f>
        <v>5.0000000000000044E-2</v>
      </c>
      <c r="G52">
        <f t="shared" si="9"/>
        <v>0</v>
      </c>
      <c r="H52" s="2">
        <f t="shared" si="10"/>
        <v>9.0227272727272684E-2</v>
      </c>
      <c r="I52" s="2">
        <f t="shared" si="11"/>
        <v>0.29491686363636349</v>
      </c>
      <c r="J52" s="7">
        <v>1</v>
      </c>
    </row>
    <row r="53" spans="1:10" x14ac:dyDescent="0.3">
      <c r="A53">
        <v>52</v>
      </c>
      <c r="B53">
        <v>0.63</v>
      </c>
      <c r="C53" s="2">
        <f t="shared" si="6"/>
        <v>0.43311895551257262</v>
      </c>
      <c r="D53" s="2">
        <f t="shared" si="7"/>
        <v>0.67308510638297869</v>
      </c>
      <c r="E53" s="2">
        <f t="shared" si="8"/>
        <v>0.91305125725338476</v>
      </c>
      <c r="F53" s="2">
        <f>+ABS(B52-Tabla1[[#This Row],[MEDICION]])</f>
        <v>0</v>
      </c>
      <c r="G53">
        <f t="shared" si="9"/>
        <v>0</v>
      </c>
      <c r="H53" s="2">
        <f t="shared" si="10"/>
        <v>9.0227272727272684E-2</v>
      </c>
      <c r="I53" s="2">
        <f t="shared" si="11"/>
        <v>0.29491686363636349</v>
      </c>
      <c r="J53" s="7">
        <v>1</v>
      </c>
    </row>
    <row r="54" spans="1:10" x14ac:dyDescent="0.3">
      <c r="A54">
        <v>53</v>
      </c>
      <c r="B54">
        <v>0.66</v>
      </c>
      <c r="C54" s="2">
        <f t="shared" si="6"/>
        <v>0.43311895551257262</v>
      </c>
      <c r="D54" s="2">
        <f t="shared" si="7"/>
        <v>0.67308510638297869</v>
      </c>
      <c r="E54" s="2">
        <f t="shared" si="8"/>
        <v>0.91305125725338476</v>
      </c>
      <c r="F54" s="2">
        <f>+ABS(B53-Tabla1[[#This Row],[MEDICION]])</f>
        <v>3.0000000000000027E-2</v>
      </c>
      <c r="G54">
        <f t="shared" si="9"/>
        <v>0</v>
      </c>
      <c r="H54" s="2">
        <f t="shared" si="10"/>
        <v>9.0227272727272684E-2</v>
      </c>
      <c r="I54" s="2">
        <f t="shared" si="11"/>
        <v>0.29491686363636349</v>
      </c>
      <c r="J54" s="7">
        <v>1</v>
      </c>
    </row>
    <row r="55" spans="1:10" x14ac:dyDescent="0.3">
      <c r="A55">
        <v>54</v>
      </c>
      <c r="B55">
        <v>0.69</v>
      </c>
      <c r="C55" s="2">
        <f t="shared" si="6"/>
        <v>0.43311895551257262</v>
      </c>
      <c r="D55" s="2">
        <f t="shared" si="7"/>
        <v>0.67308510638297869</v>
      </c>
      <c r="E55" s="2">
        <f t="shared" si="8"/>
        <v>0.91305125725338476</v>
      </c>
      <c r="F55" s="2">
        <f>+ABS(B54-Tabla1[[#This Row],[MEDICION]])</f>
        <v>2.9999999999999916E-2</v>
      </c>
      <c r="G55">
        <f t="shared" si="9"/>
        <v>0</v>
      </c>
      <c r="H55" s="2">
        <f t="shared" si="10"/>
        <v>9.0227272727272684E-2</v>
      </c>
      <c r="I55" s="2">
        <f t="shared" si="11"/>
        <v>0.29491686363636349</v>
      </c>
      <c r="J55" s="7">
        <v>1</v>
      </c>
    </row>
    <row r="56" spans="1:10" x14ac:dyDescent="0.3">
      <c r="A56">
        <v>55</v>
      </c>
      <c r="B56">
        <v>0.59</v>
      </c>
      <c r="C56" s="2">
        <f t="shared" si="6"/>
        <v>0.43311895551257262</v>
      </c>
      <c r="D56" s="2">
        <f t="shared" si="7"/>
        <v>0.67308510638297869</v>
      </c>
      <c r="E56" s="2">
        <f t="shared" si="8"/>
        <v>0.91305125725338476</v>
      </c>
      <c r="F56" s="2">
        <f>+ABS(B55-Tabla1[[#This Row],[MEDICION]])</f>
        <v>9.9999999999999978E-2</v>
      </c>
      <c r="G56">
        <f t="shared" si="9"/>
        <v>0</v>
      </c>
      <c r="H56" s="2">
        <f t="shared" si="10"/>
        <v>9.0227272727272684E-2</v>
      </c>
      <c r="I56" s="2">
        <f t="shared" si="11"/>
        <v>0.29491686363636349</v>
      </c>
      <c r="J56" s="7">
        <v>1</v>
      </c>
    </row>
    <row r="57" spans="1:10" x14ac:dyDescent="0.3">
      <c r="A57">
        <v>56</v>
      </c>
      <c r="B57">
        <v>0.64</v>
      </c>
      <c r="C57" s="2">
        <f t="shared" si="6"/>
        <v>0.43311895551257262</v>
      </c>
      <c r="D57" s="2">
        <f t="shared" si="7"/>
        <v>0.67308510638297869</v>
      </c>
      <c r="E57" s="2">
        <f t="shared" si="8"/>
        <v>0.91305125725338476</v>
      </c>
      <c r="F57" s="2">
        <f>+ABS(B56-Tabla1[[#This Row],[MEDICION]])</f>
        <v>5.0000000000000044E-2</v>
      </c>
      <c r="G57">
        <f t="shared" si="9"/>
        <v>0</v>
      </c>
      <c r="H57" s="2">
        <f t="shared" si="10"/>
        <v>9.0227272727272684E-2</v>
      </c>
      <c r="I57" s="2">
        <f t="shared" si="11"/>
        <v>0.29491686363636349</v>
      </c>
      <c r="J57" s="7">
        <v>1</v>
      </c>
    </row>
    <row r="58" spans="1:10" x14ac:dyDescent="0.3">
      <c r="A58">
        <v>57</v>
      </c>
      <c r="B58">
        <v>0.78</v>
      </c>
      <c r="C58" s="2">
        <f t="shared" si="6"/>
        <v>0.43311895551257262</v>
      </c>
      <c r="D58" s="2">
        <f t="shared" si="7"/>
        <v>0.67308510638297869</v>
      </c>
      <c r="E58" s="2">
        <f t="shared" si="8"/>
        <v>0.91305125725338476</v>
      </c>
      <c r="F58" s="2">
        <f>+ABS(B57-Tabla1[[#This Row],[MEDICION]])</f>
        <v>0.14000000000000001</v>
      </c>
      <c r="G58">
        <f t="shared" si="9"/>
        <v>0</v>
      </c>
      <c r="H58" s="2">
        <f t="shared" si="10"/>
        <v>9.0227272727272684E-2</v>
      </c>
      <c r="I58" s="2">
        <f t="shared" si="11"/>
        <v>0.29491686363636349</v>
      </c>
      <c r="J58" s="7">
        <v>1</v>
      </c>
    </row>
    <row r="59" spans="1:10" x14ac:dyDescent="0.3">
      <c r="A59">
        <v>58</v>
      </c>
      <c r="B59">
        <v>0.71</v>
      </c>
      <c r="C59" s="2">
        <f t="shared" si="6"/>
        <v>0.43311895551257262</v>
      </c>
      <c r="D59" s="2">
        <f t="shared" si="7"/>
        <v>0.67308510638297869</v>
      </c>
      <c r="E59" s="2">
        <f t="shared" si="8"/>
        <v>0.91305125725338476</v>
      </c>
      <c r="F59" s="2">
        <f>+ABS(B58-Tabla1[[#This Row],[MEDICION]])</f>
        <v>7.0000000000000062E-2</v>
      </c>
      <c r="G59">
        <f t="shared" si="9"/>
        <v>0</v>
      </c>
      <c r="H59" s="2">
        <f t="shared" si="10"/>
        <v>9.0227272727272684E-2</v>
      </c>
      <c r="I59" s="2">
        <f t="shared" si="11"/>
        <v>0.29491686363636349</v>
      </c>
      <c r="J59" s="7">
        <v>1</v>
      </c>
    </row>
    <row r="60" spans="1:10" x14ac:dyDescent="0.3">
      <c r="A60">
        <v>59</v>
      </c>
      <c r="B60">
        <v>0.68</v>
      </c>
      <c r="C60" s="2">
        <f t="shared" si="6"/>
        <v>0.43311895551257262</v>
      </c>
      <c r="D60" s="2">
        <f t="shared" si="7"/>
        <v>0.67308510638297869</v>
      </c>
      <c r="E60" s="2">
        <f t="shared" si="8"/>
        <v>0.91305125725338476</v>
      </c>
      <c r="F60" s="2">
        <f>+ABS(B59-Tabla1[[#This Row],[MEDICION]])</f>
        <v>2.9999999999999916E-2</v>
      </c>
      <c r="G60">
        <f t="shared" si="9"/>
        <v>0</v>
      </c>
      <c r="H60" s="2">
        <f t="shared" si="10"/>
        <v>9.0227272727272684E-2</v>
      </c>
      <c r="I60" s="2">
        <f t="shared" si="11"/>
        <v>0.29491686363636349</v>
      </c>
      <c r="J60" s="7">
        <v>1</v>
      </c>
    </row>
    <row r="61" spans="1:10" x14ac:dyDescent="0.3">
      <c r="A61">
        <v>60</v>
      </c>
      <c r="B61">
        <v>0.6</v>
      </c>
      <c r="C61" s="2">
        <f t="shared" si="6"/>
        <v>0.43311895551257262</v>
      </c>
      <c r="D61" s="2">
        <f t="shared" si="7"/>
        <v>0.67308510638297869</v>
      </c>
      <c r="E61" s="2">
        <f t="shared" si="8"/>
        <v>0.91305125725338476</v>
      </c>
      <c r="F61" s="2">
        <f>+ABS(B60-Tabla1[[#This Row],[MEDICION]])</f>
        <v>8.0000000000000071E-2</v>
      </c>
      <c r="G61">
        <f t="shared" si="9"/>
        <v>0</v>
      </c>
      <c r="H61" s="2">
        <f t="shared" si="10"/>
        <v>9.0227272727272684E-2</v>
      </c>
      <c r="I61" s="2">
        <f t="shared" si="11"/>
        <v>0.29491686363636349</v>
      </c>
      <c r="J61" s="7">
        <v>1</v>
      </c>
    </row>
    <row r="62" spans="1:10" x14ac:dyDescent="0.3">
      <c r="A62">
        <v>61</v>
      </c>
      <c r="B62">
        <v>0.61</v>
      </c>
      <c r="C62" s="2">
        <f t="shared" si="6"/>
        <v>0.43311895551257262</v>
      </c>
      <c r="D62" s="2">
        <f t="shared" si="7"/>
        <v>0.67308510638297869</v>
      </c>
      <c r="E62" s="2">
        <f t="shared" si="8"/>
        <v>0.91305125725338476</v>
      </c>
      <c r="F62" s="2">
        <f>+ABS(B61-Tabla1[[#This Row],[MEDICION]])</f>
        <v>1.0000000000000009E-2</v>
      </c>
      <c r="G62">
        <f t="shared" si="9"/>
        <v>0</v>
      </c>
      <c r="H62" s="2">
        <f t="shared" si="10"/>
        <v>9.0227272727272684E-2</v>
      </c>
      <c r="I62" s="2">
        <f t="shared" si="11"/>
        <v>0.29491686363636349</v>
      </c>
      <c r="J62" s="7">
        <v>1</v>
      </c>
    </row>
    <row r="63" spans="1:10" x14ac:dyDescent="0.3">
      <c r="A63">
        <v>62</v>
      </c>
      <c r="B63">
        <v>0.64</v>
      </c>
      <c r="C63" s="2">
        <f t="shared" si="6"/>
        <v>0.43311895551257262</v>
      </c>
      <c r="D63" s="2">
        <f t="shared" si="7"/>
        <v>0.67308510638297869</v>
      </c>
      <c r="E63" s="2">
        <f t="shared" si="8"/>
        <v>0.91305125725338476</v>
      </c>
      <c r="F63" s="2">
        <f>+ABS(B62-Tabla1[[#This Row],[MEDICION]])</f>
        <v>3.0000000000000027E-2</v>
      </c>
      <c r="G63">
        <f t="shared" si="9"/>
        <v>0</v>
      </c>
      <c r="H63" s="2">
        <f t="shared" si="10"/>
        <v>9.0227272727272684E-2</v>
      </c>
      <c r="I63" s="2">
        <f t="shared" si="11"/>
        <v>0.29491686363636349</v>
      </c>
      <c r="J63" s="7">
        <v>1</v>
      </c>
    </row>
    <row r="64" spans="1:10" x14ac:dyDescent="0.3">
      <c r="A64">
        <v>63</v>
      </c>
      <c r="B64">
        <v>0.66</v>
      </c>
      <c r="C64" s="2">
        <f t="shared" si="6"/>
        <v>0.43311895551257262</v>
      </c>
      <c r="D64" s="2">
        <f t="shared" si="7"/>
        <v>0.67308510638297869</v>
      </c>
      <c r="E64" s="2">
        <f t="shared" si="8"/>
        <v>0.91305125725338476</v>
      </c>
      <c r="F64" s="2">
        <f>+ABS(B63-Tabla1[[#This Row],[MEDICION]])</f>
        <v>2.0000000000000018E-2</v>
      </c>
      <c r="G64">
        <f t="shared" si="9"/>
        <v>0</v>
      </c>
      <c r="H64" s="2">
        <f t="shared" si="10"/>
        <v>9.0227272727272684E-2</v>
      </c>
      <c r="I64" s="2">
        <f t="shared" si="11"/>
        <v>0.29491686363636349</v>
      </c>
      <c r="J64" s="7">
        <v>1</v>
      </c>
    </row>
    <row r="65" spans="1:10" x14ac:dyDescent="0.3">
      <c r="A65">
        <v>64</v>
      </c>
      <c r="B65">
        <v>0.65</v>
      </c>
      <c r="C65" s="2">
        <f t="shared" si="6"/>
        <v>0.43311895551257262</v>
      </c>
      <c r="D65" s="2">
        <f t="shared" si="7"/>
        <v>0.67308510638297869</v>
      </c>
      <c r="E65" s="2">
        <f t="shared" si="8"/>
        <v>0.91305125725338476</v>
      </c>
      <c r="F65" s="2">
        <f>+ABS(B64-Tabla1[[#This Row],[MEDICION]])</f>
        <v>1.0000000000000009E-2</v>
      </c>
      <c r="G65">
        <f t="shared" si="9"/>
        <v>0</v>
      </c>
      <c r="H65" s="2">
        <f t="shared" si="10"/>
        <v>9.0227272727272684E-2</v>
      </c>
      <c r="I65" s="2">
        <f t="shared" si="11"/>
        <v>0.29491686363636349</v>
      </c>
      <c r="J65" s="7">
        <v>1</v>
      </c>
    </row>
    <row r="66" spans="1:10" x14ac:dyDescent="0.3">
      <c r="A66">
        <v>65</v>
      </c>
      <c r="B66">
        <v>0.66</v>
      </c>
      <c r="C66" s="2">
        <f t="shared" ref="C66:C93" si="12">+$M$1-(3*($M$2/$M$3))</f>
        <v>0.43311895551257262</v>
      </c>
      <c r="D66" s="2">
        <f t="shared" ref="D66:D93" si="13">+$M$1</f>
        <v>0.67308510638297869</v>
      </c>
      <c r="E66" s="2">
        <f t="shared" ref="E66:E93" si="14">+$M$1+(3*($M$2/$M$3))</f>
        <v>0.91305125725338476</v>
      </c>
      <c r="F66" s="2">
        <f>+ABS(B65-Tabla1[[#This Row],[MEDICION]])</f>
        <v>1.0000000000000009E-2</v>
      </c>
      <c r="G66">
        <f t="shared" ref="G66:G93" si="15">+$M$4*$M$2</f>
        <v>0</v>
      </c>
      <c r="H66" s="2">
        <f t="shared" ref="H66:H93" si="16">+$M$2</f>
        <v>9.0227272727272684E-2</v>
      </c>
      <c r="I66" s="2">
        <f t="shared" ref="I66:I93" si="17">+$M$5*$M$2</f>
        <v>0.29491686363636349</v>
      </c>
      <c r="J66" s="7">
        <v>1</v>
      </c>
    </row>
    <row r="67" spans="1:10" x14ac:dyDescent="0.3">
      <c r="A67">
        <v>66</v>
      </c>
      <c r="B67">
        <v>0.69</v>
      </c>
      <c r="C67" s="2">
        <f t="shared" si="12"/>
        <v>0.43311895551257262</v>
      </c>
      <c r="D67" s="2">
        <f t="shared" si="13"/>
        <v>0.67308510638297869</v>
      </c>
      <c r="E67" s="2">
        <f t="shared" si="14"/>
        <v>0.91305125725338476</v>
      </c>
      <c r="F67" s="2">
        <f>+ABS(B66-Tabla1[[#This Row],[MEDICION]])</f>
        <v>2.9999999999999916E-2</v>
      </c>
      <c r="G67">
        <f t="shared" si="15"/>
        <v>0</v>
      </c>
      <c r="H67" s="2">
        <f t="shared" si="16"/>
        <v>9.0227272727272684E-2</v>
      </c>
      <c r="I67" s="2">
        <f t="shared" si="17"/>
        <v>0.29491686363636349</v>
      </c>
      <c r="J67" s="7">
        <v>1</v>
      </c>
    </row>
    <row r="68" spans="1:10" x14ac:dyDescent="0.3">
      <c r="A68">
        <v>67</v>
      </c>
      <c r="B68">
        <v>0.64</v>
      </c>
      <c r="C68" s="2">
        <f t="shared" si="12"/>
        <v>0.43311895551257262</v>
      </c>
      <c r="D68" s="2">
        <f t="shared" si="13"/>
        <v>0.67308510638297869</v>
      </c>
      <c r="E68" s="2">
        <f t="shared" si="14"/>
        <v>0.91305125725338476</v>
      </c>
      <c r="F68" s="2">
        <f>+ABS(B67-Tabla1[[#This Row],[MEDICION]])</f>
        <v>4.9999999999999933E-2</v>
      </c>
      <c r="G68">
        <f t="shared" si="15"/>
        <v>0</v>
      </c>
      <c r="H68" s="2">
        <f t="shared" si="16"/>
        <v>9.0227272727272684E-2</v>
      </c>
      <c r="I68" s="2">
        <f t="shared" si="17"/>
        <v>0.29491686363636349</v>
      </c>
      <c r="J68" s="7">
        <v>1</v>
      </c>
    </row>
    <row r="69" spans="1:10" x14ac:dyDescent="0.3">
      <c r="A69">
        <v>68</v>
      </c>
      <c r="B69">
        <v>0.65</v>
      </c>
      <c r="C69" s="2">
        <f t="shared" si="12"/>
        <v>0.43311895551257262</v>
      </c>
      <c r="D69" s="2">
        <f t="shared" si="13"/>
        <v>0.67308510638297869</v>
      </c>
      <c r="E69" s="2">
        <f t="shared" si="14"/>
        <v>0.91305125725338476</v>
      </c>
      <c r="F69" s="2">
        <f>+ABS(B68-Tabla1[[#This Row],[MEDICION]])</f>
        <v>1.0000000000000009E-2</v>
      </c>
      <c r="G69">
        <f t="shared" si="15"/>
        <v>0</v>
      </c>
      <c r="H69" s="2">
        <f t="shared" si="16"/>
        <v>9.0227272727272684E-2</v>
      </c>
      <c r="I69" s="2">
        <f t="shared" si="17"/>
        <v>0.29491686363636349</v>
      </c>
      <c r="J69" s="7">
        <v>1</v>
      </c>
    </row>
    <row r="70" spans="1:10" x14ac:dyDescent="0.3">
      <c r="A70">
        <v>69</v>
      </c>
      <c r="B70">
        <v>0.63</v>
      </c>
      <c r="C70" s="2">
        <f t="shared" si="12"/>
        <v>0.43311895551257262</v>
      </c>
      <c r="D70" s="2">
        <f t="shared" si="13"/>
        <v>0.67308510638297869</v>
      </c>
      <c r="E70" s="2">
        <f t="shared" si="14"/>
        <v>0.91305125725338476</v>
      </c>
      <c r="F70" s="2">
        <f>+ABS(B69-Tabla1[[#This Row],[MEDICION]])</f>
        <v>2.0000000000000018E-2</v>
      </c>
      <c r="G70">
        <f t="shared" si="15"/>
        <v>0</v>
      </c>
      <c r="H70" s="2">
        <f t="shared" si="16"/>
        <v>9.0227272727272684E-2</v>
      </c>
      <c r="I70" s="2">
        <f t="shared" si="17"/>
        <v>0.29491686363636349</v>
      </c>
      <c r="J70" s="7">
        <v>1</v>
      </c>
    </row>
    <row r="71" spans="1:10" x14ac:dyDescent="0.3">
      <c r="A71">
        <v>70</v>
      </c>
      <c r="B71">
        <v>0.68</v>
      </c>
      <c r="C71" s="2">
        <f t="shared" si="12"/>
        <v>0.43311895551257262</v>
      </c>
      <c r="D71" s="2">
        <f t="shared" si="13"/>
        <v>0.67308510638297869</v>
      </c>
      <c r="E71" s="2">
        <f t="shared" si="14"/>
        <v>0.91305125725338476</v>
      </c>
      <c r="F71" s="2">
        <f>+ABS(B70-Tabla1[[#This Row],[MEDICION]])</f>
        <v>5.0000000000000044E-2</v>
      </c>
      <c r="G71">
        <f t="shared" si="15"/>
        <v>0</v>
      </c>
      <c r="H71" s="2">
        <f t="shared" si="16"/>
        <v>9.0227272727272684E-2</v>
      </c>
      <c r="I71" s="2">
        <f t="shared" si="17"/>
        <v>0.29491686363636349</v>
      </c>
      <c r="J71" s="7">
        <v>1</v>
      </c>
    </row>
    <row r="72" spans="1:10" x14ac:dyDescent="0.3">
      <c r="A72">
        <v>71</v>
      </c>
      <c r="B72">
        <v>0.51</v>
      </c>
      <c r="C72" s="2">
        <f t="shared" si="12"/>
        <v>0.43311895551257262</v>
      </c>
      <c r="D72" s="2">
        <f t="shared" si="13"/>
        <v>0.67308510638297869</v>
      </c>
      <c r="E72" s="2">
        <f t="shared" si="14"/>
        <v>0.91305125725338476</v>
      </c>
      <c r="F72" s="2">
        <f>+ABS(B71-Tabla1[[#This Row],[MEDICION]])</f>
        <v>0.17000000000000004</v>
      </c>
      <c r="G72">
        <f t="shared" si="15"/>
        <v>0</v>
      </c>
      <c r="H72" s="2">
        <f t="shared" si="16"/>
        <v>9.0227272727272684E-2</v>
      </c>
      <c r="I72" s="2">
        <f t="shared" si="17"/>
        <v>0.29491686363636349</v>
      </c>
      <c r="J72" s="7">
        <v>1</v>
      </c>
    </row>
    <row r="73" spans="1:10" x14ac:dyDescent="0.3">
      <c r="A73">
        <v>72</v>
      </c>
      <c r="B73">
        <v>0.53</v>
      </c>
      <c r="C73" s="2">
        <f t="shared" si="12"/>
        <v>0.43311895551257262</v>
      </c>
      <c r="D73" s="2">
        <f t="shared" si="13"/>
        <v>0.67308510638297869</v>
      </c>
      <c r="E73" s="2">
        <f t="shared" si="14"/>
        <v>0.91305125725338476</v>
      </c>
      <c r="F73" s="2">
        <f>+ABS(B72-Tabla1[[#This Row],[MEDICION]])</f>
        <v>2.0000000000000018E-2</v>
      </c>
      <c r="G73">
        <f t="shared" si="15"/>
        <v>0</v>
      </c>
      <c r="H73" s="2">
        <f t="shared" si="16"/>
        <v>9.0227272727272684E-2</v>
      </c>
      <c r="I73" s="2">
        <f t="shared" si="17"/>
        <v>0.29491686363636349</v>
      </c>
      <c r="J73" s="7">
        <v>1</v>
      </c>
    </row>
    <row r="74" spans="1:10" x14ac:dyDescent="0.3">
      <c r="A74">
        <v>73</v>
      </c>
      <c r="B74">
        <v>0.66</v>
      </c>
      <c r="C74" s="2">
        <f t="shared" si="12"/>
        <v>0.43311895551257262</v>
      </c>
      <c r="D74" s="2">
        <f t="shared" si="13"/>
        <v>0.67308510638297869</v>
      </c>
      <c r="E74" s="2">
        <f t="shared" si="14"/>
        <v>0.91305125725338476</v>
      </c>
      <c r="F74" s="2">
        <f>+ABS(B73-Tabla1[[#This Row],[MEDICION]])</f>
        <v>0.13</v>
      </c>
      <c r="G74">
        <f t="shared" si="15"/>
        <v>0</v>
      </c>
      <c r="H74" s="2">
        <f t="shared" si="16"/>
        <v>9.0227272727272684E-2</v>
      </c>
      <c r="I74" s="2">
        <f t="shared" si="17"/>
        <v>0.29491686363636349</v>
      </c>
      <c r="J74" s="7">
        <v>1</v>
      </c>
    </row>
    <row r="75" spans="1:10" x14ac:dyDescent="0.3">
      <c r="A75">
        <v>74</v>
      </c>
      <c r="B75">
        <v>0.53</v>
      </c>
      <c r="C75" s="2">
        <f t="shared" si="12"/>
        <v>0.43311895551257262</v>
      </c>
      <c r="D75" s="2">
        <f t="shared" si="13"/>
        <v>0.67308510638297869</v>
      </c>
      <c r="E75" s="2">
        <f t="shared" si="14"/>
        <v>0.91305125725338476</v>
      </c>
      <c r="F75" s="2">
        <f>+ABS(B74-Tabla1[[#This Row],[MEDICION]])</f>
        <v>0.13</v>
      </c>
      <c r="G75">
        <f t="shared" si="15"/>
        <v>0</v>
      </c>
      <c r="H75" s="2">
        <f t="shared" si="16"/>
        <v>9.0227272727272684E-2</v>
      </c>
      <c r="I75" s="2">
        <f t="shared" si="17"/>
        <v>0.29491686363636349</v>
      </c>
      <c r="J75" s="7">
        <v>1</v>
      </c>
    </row>
    <row r="76" spans="1:10" x14ac:dyDescent="0.3">
      <c r="A76">
        <v>75</v>
      </c>
      <c r="B76">
        <v>0.65</v>
      </c>
      <c r="C76" s="2">
        <f t="shared" si="12"/>
        <v>0.43311895551257262</v>
      </c>
      <c r="D76" s="2">
        <f t="shared" si="13"/>
        <v>0.67308510638297869</v>
      </c>
      <c r="E76" s="2">
        <f t="shared" si="14"/>
        <v>0.91305125725338476</v>
      </c>
      <c r="F76" s="2">
        <f>+ABS(B75-Tabla1[[#This Row],[MEDICION]])</f>
        <v>0.12</v>
      </c>
      <c r="G76">
        <f t="shared" si="15"/>
        <v>0</v>
      </c>
      <c r="H76" s="2">
        <f t="shared" si="16"/>
        <v>9.0227272727272684E-2</v>
      </c>
      <c r="I76" s="2">
        <f t="shared" si="17"/>
        <v>0.29491686363636349</v>
      </c>
      <c r="J76" s="7">
        <v>1</v>
      </c>
    </row>
    <row r="77" spans="1:10" x14ac:dyDescent="0.3">
      <c r="A77">
        <v>76</v>
      </c>
      <c r="B77">
        <v>0.7</v>
      </c>
      <c r="C77" s="2">
        <f t="shared" si="12"/>
        <v>0.43311895551257262</v>
      </c>
      <c r="D77" s="2">
        <f t="shared" si="13"/>
        <v>0.67308510638297869</v>
      </c>
      <c r="E77" s="2">
        <f t="shared" si="14"/>
        <v>0.91305125725338476</v>
      </c>
      <c r="F77" s="2">
        <f>+ABS(B76-Tabla1[[#This Row],[MEDICION]])</f>
        <v>4.9999999999999933E-2</v>
      </c>
      <c r="G77">
        <f t="shared" si="15"/>
        <v>0</v>
      </c>
      <c r="H77" s="2">
        <f t="shared" si="16"/>
        <v>9.0227272727272684E-2</v>
      </c>
      <c r="I77" s="2">
        <f t="shared" si="17"/>
        <v>0.29491686363636349</v>
      </c>
      <c r="J77" s="7">
        <v>1</v>
      </c>
    </row>
    <row r="78" spans="1:10" x14ac:dyDescent="0.3">
      <c r="A78">
        <v>77</v>
      </c>
      <c r="B78">
        <v>0.66</v>
      </c>
      <c r="C78" s="2">
        <f t="shared" si="12"/>
        <v>0.43311895551257262</v>
      </c>
      <c r="D78" s="2">
        <f t="shared" si="13"/>
        <v>0.67308510638297869</v>
      </c>
      <c r="E78" s="2">
        <f t="shared" si="14"/>
        <v>0.91305125725338476</v>
      </c>
      <c r="F78" s="2">
        <f>+ABS(B77-Tabla1[[#This Row],[MEDICION]])</f>
        <v>3.9999999999999925E-2</v>
      </c>
      <c r="G78">
        <f t="shared" si="15"/>
        <v>0</v>
      </c>
      <c r="H78" s="2">
        <f t="shared" si="16"/>
        <v>9.0227272727272684E-2</v>
      </c>
      <c r="I78" s="2">
        <f t="shared" si="17"/>
        <v>0.29491686363636349</v>
      </c>
      <c r="J78" s="7">
        <v>1</v>
      </c>
    </row>
    <row r="79" spans="1:10" x14ac:dyDescent="0.3">
      <c r="A79">
        <v>78</v>
      </c>
      <c r="B79">
        <v>0.71</v>
      </c>
      <c r="C79" s="2">
        <f t="shared" si="12"/>
        <v>0.43311895551257262</v>
      </c>
      <c r="D79" s="2">
        <f t="shared" si="13"/>
        <v>0.67308510638297869</v>
      </c>
      <c r="E79" s="2">
        <f t="shared" si="14"/>
        <v>0.91305125725338476</v>
      </c>
      <c r="F79" s="2">
        <f>+ABS(B78-Tabla1[[#This Row],[MEDICION]])</f>
        <v>4.9999999999999933E-2</v>
      </c>
      <c r="G79">
        <f t="shared" si="15"/>
        <v>0</v>
      </c>
      <c r="H79" s="2">
        <f t="shared" si="16"/>
        <v>9.0227272727272684E-2</v>
      </c>
      <c r="I79" s="2">
        <f t="shared" si="17"/>
        <v>0.29491686363636349</v>
      </c>
      <c r="J79" s="7">
        <v>1</v>
      </c>
    </row>
    <row r="80" spans="1:10" x14ac:dyDescent="0.3">
      <c r="A80">
        <v>79</v>
      </c>
      <c r="B80">
        <v>0.7</v>
      </c>
      <c r="C80" s="2">
        <f t="shared" si="12"/>
        <v>0.43311895551257262</v>
      </c>
      <c r="D80" s="2">
        <f t="shared" si="13"/>
        <v>0.67308510638297869</v>
      </c>
      <c r="E80" s="2">
        <f t="shared" si="14"/>
        <v>0.91305125725338476</v>
      </c>
      <c r="F80" s="2">
        <f>+ABS(B79-Tabla1[[#This Row],[MEDICION]])</f>
        <v>1.0000000000000009E-2</v>
      </c>
      <c r="G80">
        <f t="shared" si="15"/>
        <v>0</v>
      </c>
      <c r="H80" s="2">
        <f t="shared" si="16"/>
        <v>9.0227272727272684E-2</v>
      </c>
      <c r="I80" s="2">
        <f t="shared" si="17"/>
        <v>0.29491686363636349</v>
      </c>
      <c r="J80" s="7">
        <v>1</v>
      </c>
    </row>
    <row r="81" spans="1:10" x14ac:dyDescent="0.3">
      <c r="A81">
        <v>80</v>
      </c>
      <c r="B81">
        <v>0.66</v>
      </c>
      <c r="C81" s="2">
        <f t="shared" si="12"/>
        <v>0.43311895551257262</v>
      </c>
      <c r="D81" s="2">
        <f t="shared" si="13"/>
        <v>0.67308510638297869</v>
      </c>
      <c r="E81" s="2">
        <f t="shared" si="14"/>
        <v>0.91305125725338476</v>
      </c>
      <c r="F81" s="2">
        <f>+ABS(B80-Tabla1[[#This Row],[MEDICION]])</f>
        <v>3.9999999999999925E-2</v>
      </c>
      <c r="G81">
        <f t="shared" si="15"/>
        <v>0</v>
      </c>
      <c r="H81" s="2">
        <f t="shared" si="16"/>
        <v>9.0227272727272684E-2</v>
      </c>
      <c r="I81" s="2">
        <f t="shared" si="17"/>
        <v>0.29491686363636349</v>
      </c>
      <c r="J81" s="7">
        <v>1</v>
      </c>
    </row>
    <row r="82" spans="1:10" x14ac:dyDescent="0.3">
      <c r="A82">
        <v>81</v>
      </c>
      <c r="B82">
        <v>0.65</v>
      </c>
      <c r="C82" s="2">
        <f t="shared" si="12"/>
        <v>0.43311895551257262</v>
      </c>
      <c r="D82" s="2">
        <f t="shared" si="13"/>
        <v>0.67308510638297869</v>
      </c>
      <c r="E82" s="2">
        <f t="shared" si="14"/>
        <v>0.91305125725338476</v>
      </c>
      <c r="F82" s="2">
        <f>+ABS(B81-Tabla1[[#This Row],[MEDICION]])</f>
        <v>1.0000000000000009E-2</v>
      </c>
      <c r="G82">
        <f t="shared" si="15"/>
        <v>0</v>
      </c>
      <c r="H82" s="2">
        <f t="shared" si="16"/>
        <v>9.0227272727272684E-2</v>
      </c>
      <c r="I82" s="2">
        <f t="shared" si="17"/>
        <v>0.29491686363636349</v>
      </c>
      <c r="J82" s="7">
        <v>1</v>
      </c>
    </row>
    <row r="83" spans="1:10" x14ac:dyDescent="0.3">
      <c r="A83">
        <v>82</v>
      </c>
      <c r="B83">
        <v>0.7</v>
      </c>
      <c r="C83" s="2">
        <f t="shared" si="12"/>
        <v>0.43311895551257262</v>
      </c>
      <c r="D83" s="2">
        <f t="shared" si="13"/>
        <v>0.67308510638297869</v>
      </c>
      <c r="E83" s="2">
        <f t="shared" si="14"/>
        <v>0.91305125725338476</v>
      </c>
      <c r="F83" s="2">
        <f>+ABS(B82-Tabla1[[#This Row],[MEDICION]])</f>
        <v>4.9999999999999933E-2</v>
      </c>
      <c r="G83">
        <f t="shared" si="15"/>
        <v>0</v>
      </c>
      <c r="H83" s="2">
        <f t="shared" si="16"/>
        <v>9.0227272727272684E-2</v>
      </c>
      <c r="I83" s="2">
        <f t="shared" si="17"/>
        <v>0.29491686363636349</v>
      </c>
      <c r="J83" s="7">
        <v>1</v>
      </c>
    </row>
    <row r="84" spans="1:10" x14ac:dyDescent="0.3">
      <c r="A84">
        <v>83</v>
      </c>
      <c r="B84">
        <v>0.51</v>
      </c>
      <c r="C84" s="2">
        <f t="shared" si="12"/>
        <v>0.43311895551257262</v>
      </c>
      <c r="D84" s="2">
        <f t="shared" si="13"/>
        <v>0.67308510638297869</v>
      </c>
      <c r="E84" s="2">
        <f t="shared" si="14"/>
        <v>0.91305125725338476</v>
      </c>
      <c r="F84" s="2">
        <f>+ABS(B83-Tabla1[[#This Row],[MEDICION]])</f>
        <v>0.18999999999999995</v>
      </c>
      <c r="G84">
        <f t="shared" si="15"/>
        <v>0</v>
      </c>
      <c r="H84" s="2">
        <f t="shared" si="16"/>
        <v>9.0227272727272684E-2</v>
      </c>
      <c r="I84" s="2">
        <f t="shared" si="17"/>
        <v>0.29491686363636349</v>
      </c>
      <c r="J84" s="7">
        <v>1</v>
      </c>
    </row>
    <row r="85" spans="1:10" x14ac:dyDescent="0.3">
      <c r="A85">
        <v>84</v>
      </c>
      <c r="B85">
        <v>0.65</v>
      </c>
      <c r="C85" s="2">
        <f t="shared" si="12"/>
        <v>0.43311895551257262</v>
      </c>
      <c r="D85" s="2">
        <f t="shared" si="13"/>
        <v>0.67308510638297869</v>
      </c>
      <c r="E85" s="2">
        <f t="shared" si="14"/>
        <v>0.91305125725338476</v>
      </c>
      <c r="F85" s="2">
        <f>+ABS(B84-Tabla1[[#This Row],[MEDICION]])</f>
        <v>0.14000000000000001</v>
      </c>
      <c r="G85">
        <f t="shared" si="15"/>
        <v>0</v>
      </c>
      <c r="H85" s="2">
        <f t="shared" si="16"/>
        <v>9.0227272727272684E-2</v>
      </c>
      <c r="I85" s="2">
        <f t="shared" si="17"/>
        <v>0.29491686363636349</v>
      </c>
      <c r="J85" s="7">
        <v>1</v>
      </c>
    </row>
    <row r="86" spans="1:10" x14ac:dyDescent="0.3">
      <c r="A86">
        <v>85</v>
      </c>
      <c r="B86">
        <v>0.64</v>
      </c>
      <c r="C86" s="2">
        <f t="shared" si="12"/>
        <v>0.43311895551257262</v>
      </c>
      <c r="D86" s="2">
        <f t="shared" si="13"/>
        <v>0.67308510638297869</v>
      </c>
      <c r="E86" s="2">
        <f t="shared" si="14"/>
        <v>0.91305125725338476</v>
      </c>
      <c r="F86" s="2">
        <f>+ABS(B85-Tabla1[[#This Row],[MEDICION]])</f>
        <v>1.0000000000000009E-2</v>
      </c>
      <c r="G86">
        <f t="shared" si="15"/>
        <v>0</v>
      </c>
      <c r="H86" s="2">
        <f t="shared" si="16"/>
        <v>9.0227272727272684E-2</v>
      </c>
      <c r="I86" s="2">
        <f t="shared" si="17"/>
        <v>0.29491686363636349</v>
      </c>
      <c r="J86" s="7">
        <v>1</v>
      </c>
    </row>
    <row r="87" spans="1:10" x14ac:dyDescent="0.3">
      <c r="A87">
        <v>86</v>
      </c>
      <c r="B87">
        <v>0.65</v>
      </c>
      <c r="C87" s="2">
        <f t="shared" si="12"/>
        <v>0.43311895551257262</v>
      </c>
      <c r="D87" s="2">
        <f t="shared" si="13"/>
        <v>0.67308510638297869</v>
      </c>
      <c r="E87" s="2">
        <f t="shared" si="14"/>
        <v>0.91305125725338476</v>
      </c>
      <c r="F87" s="2">
        <f>+ABS(B86-Tabla1[[#This Row],[MEDICION]])</f>
        <v>1.0000000000000009E-2</v>
      </c>
      <c r="G87">
        <f t="shared" si="15"/>
        <v>0</v>
      </c>
      <c r="H87" s="2">
        <f t="shared" si="16"/>
        <v>9.0227272727272684E-2</v>
      </c>
      <c r="I87" s="2">
        <f t="shared" si="17"/>
        <v>0.29491686363636349</v>
      </c>
      <c r="J87" s="7">
        <v>1</v>
      </c>
    </row>
    <row r="88" spans="1:10" x14ac:dyDescent="0.3">
      <c r="A88">
        <v>87</v>
      </c>
      <c r="B88">
        <v>0.73</v>
      </c>
      <c r="C88" s="2">
        <f t="shared" si="12"/>
        <v>0.43311895551257262</v>
      </c>
      <c r="D88" s="2">
        <f t="shared" si="13"/>
        <v>0.67308510638297869</v>
      </c>
      <c r="E88" s="2">
        <f t="shared" si="14"/>
        <v>0.91305125725338476</v>
      </c>
      <c r="F88" s="2">
        <f>+ABS(B87-Tabla1[[#This Row],[MEDICION]])</f>
        <v>7.999999999999996E-2</v>
      </c>
      <c r="G88">
        <f t="shared" si="15"/>
        <v>0</v>
      </c>
      <c r="H88" s="2">
        <f t="shared" si="16"/>
        <v>9.0227272727272684E-2</v>
      </c>
      <c r="I88" s="2">
        <f t="shared" si="17"/>
        <v>0.29491686363636349</v>
      </c>
      <c r="J88" s="7">
        <v>1</v>
      </c>
    </row>
    <row r="89" spans="1:10" x14ac:dyDescent="0.3">
      <c r="A89">
        <v>88</v>
      </c>
      <c r="B89">
        <v>0.69</v>
      </c>
      <c r="C89" s="2">
        <f t="shared" si="12"/>
        <v>0.43311895551257262</v>
      </c>
      <c r="D89" s="2">
        <f t="shared" si="13"/>
        <v>0.67308510638297869</v>
      </c>
      <c r="E89" s="2">
        <f t="shared" si="14"/>
        <v>0.91305125725338476</v>
      </c>
      <c r="F89" s="2">
        <f>+ABS(B88-Tabla1[[#This Row],[MEDICION]])</f>
        <v>4.0000000000000036E-2</v>
      </c>
      <c r="G89">
        <f t="shared" si="15"/>
        <v>0</v>
      </c>
      <c r="H89" s="2">
        <f t="shared" si="16"/>
        <v>9.0227272727272684E-2</v>
      </c>
      <c r="I89" s="2">
        <f t="shared" si="17"/>
        <v>0.29491686363636349</v>
      </c>
      <c r="J89" s="7">
        <v>1</v>
      </c>
    </row>
    <row r="90" spans="1:10" x14ac:dyDescent="0.3">
      <c r="A90">
        <v>89</v>
      </c>
      <c r="B90">
        <v>0.67</v>
      </c>
      <c r="C90" s="2">
        <f t="shared" si="12"/>
        <v>0.43311895551257262</v>
      </c>
      <c r="D90" s="2">
        <f t="shared" si="13"/>
        <v>0.67308510638297869</v>
      </c>
      <c r="E90" s="2">
        <f t="shared" si="14"/>
        <v>0.91305125725338476</v>
      </c>
      <c r="F90" s="2">
        <f>+ABS(B89-Tabla1[[#This Row],[MEDICION]])</f>
        <v>1.9999999999999907E-2</v>
      </c>
      <c r="G90">
        <f t="shared" si="15"/>
        <v>0</v>
      </c>
      <c r="H90" s="2">
        <f t="shared" si="16"/>
        <v>9.0227272727272684E-2</v>
      </c>
      <c r="I90" s="2">
        <f t="shared" si="17"/>
        <v>0.29491686363636349</v>
      </c>
      <c r="J90" s="7">
        <v>1</v>
      </c>
    </row>
    <row r="91" spans="1:10" x14ac:dyDescent="0.3">
      <c r="A91">
        <v>90</v>
      </c>
      <c r="B91">
        <v>0.64</v>
      </c>
      <c r="C91" s="2">
        <f t="shared" si="12"/>
        <v>0.43311895551257262</v>
      </c>
      <c r="D91" s="2">
        <f t="shared" si="13"/>
        <v>0.67308510638297869</v>
      </c>
      <c r="E91" s="2">
        <f t="shared" si="14"/>
        <v>0.91305125725338476</v>
      </c>
      <c r="F91" s="2">
        <f>+ABS(B90-Tabla1[[#This Row],[MEDICION]])</f>
        <v>3.0000000000000027E-2</v>
      </c>
      <c r="G91">
        <f t="shared" si="15"/>
        <v>0</v>
      </c>
      <c r="H91" s="2">
        <f t="shared" si="16"/>
        <v>9.0227272727272684E-2</v>
      </c>
      <c r="I91" s="2">
        <f t="shared" si="17"/>
        <v>0.29491686363636349</v>
      </c>
      <c r="J91" s="7">
        <v>1</v>
      </c>
    </row>
    <row r="92" spans="1:10" x14ac:dyDescent="0.3">
      <c r="A92">
        <v>91</v>
      </c>
      <c r="B92">
        <v>0.67</v>
      </c>
      <c r="C92" s="2">
        <f t="shared" si="12"/>
        <v>0.43311895551257262</v>
      </c>
      <c r="D92" s="2">
        <f t="shared" si="13"/>
        <v>0.67308510638297869</v>
      </c>
      <c r="E92" s="2">
        <f t="shared" si="14"/>
        <v>0.91305125725338476</v>
      </c>
      <c r="F92" s="2">
        <f>+ABS(B91-Tabla1[[#This Row],[MEDICION]])</f>
        <v>3.0000000000000027E-2</v>
      </c>
      <c r="G92">
        <f t="shared" si="15"/>
        <v>0</v>
      </c>
      <c r="H92" s="2">
        <f t="shared" si="16"/>
        <v>9.0227272727272684E-2</v>
      </c>
      <c r="I92" s="2">
        <f t="shared" si="17"/>
        <v>0.29491686363636349</v>
      </c>
      <c r="J92" s="7">
        <v>1</v>
      </c>
    </row>
    <row r="93" spans="1:10" x14ac:dyDescent="0.3">
      <c r="A93">
        <v>92</v>
      </c>
      <c r="B93">
        <v>0.7</v>
      </c>
      <c r="C93" s="2">
        <f t="shared" si="12"/>
        <v>0.43311895551257262</v>
      </c>
      <c r="D93" s="2">
        <f t="shared" si="13"/>
        <v>0.67308510638297869</v>
      </c>
      <c r="E93" s="2">
        <f t="shared" si="14"/>
        <v>0.91305125725338476</v>
      </c>
      <c r="F93" s="2">
        <f>+ABS(B92-Tabla1[[#This Row],[MEDICION]])</f>
        <v>2.9999999999999916E-2</v>
      </c>
      <c r="G93">
        <f t="shared" si="15"/>
        <v>0</v>
      </c>
      <c r="H93" s="2">
        <f t="shared" si="16"/>
        <v>9.0227272727272684E-2</v>
      </c>
      <c r="I93" s="2">
        <f t="shared" si="17"/>
        <v>0.29491686363636349</v>
      </c>
      <c r="J93" s="7">
        <v>1</v>
      </c>
    </row>
    <row r="94" spans="1:10" x14ac:dyDescent="0.3">
      <c r="A94">
        <v>93</v>
      </c>
      <c r="B94">
        <v>0.67</v>
      </c>
      <c r="C94" s="2">
        <f>+$M$1-(3*($M$2/$M$3))</f>
        <v>0.43311895551257262</v>
      </c>
      <c r="D94" s="2">
        <f>+$M$1</f>
        <v>0.67308510638297869</v>
      </c>
      <c r="E94" s="2">
        <f>+$M$1+(3*($M$2/$M$3))</f>
        <v>0.91305125725338476</v>
      </c>
      <c r="F94" s="2">
        <f>+ABS(B93-Tabla1[[#This Row],[MEDICION]])</f>
        <v>2.9999999999999916E-2</v>
      </c>
      <c r="G94">
        <f>+$M$4*$M$2</f>
        <v>0</v>
      </c>
      <c r="H94" s="2">
        <f>+$M$2</f>
        <v>9.0227272727272684E-2</v>
      </c>
      <c r="I94" s="2">
        <f>+$M$5*$M$2</f>
        <v>0.29491686363636349</v>
      </c>
    </row>
    <row r="95" spans="1:10" x14ac:dyDescent="0.3">
      <c r="A95">
        <v>94</v>
      </c>
      <c r="B95">
        <v>0.68</v>
      </c>
      <c r="C95" s="2">
        <f>+$M$1-(3*($M$2/$M$3))</f>
        <v>0.43311895551257262</v>
      </c>
      <c r="D95" s="2">
        <f>+$M$1</f>
        <v>0.67308510638297869</v>
      </c>
      <c r="E95" s="2">
        <f>+$M$1+(3*($M$2/$M$3))</f>
        <v>0.91305125725338476</v>
      </c>
      <c r="F95" s="2">
        <f>+ABS(B94-Tabla1[[#This Row],[MEDICION]])</f>
        <v>1.0000000000000009E-2</v>
      </c>
      <c r="G95">
        <f>+$M$4*$M$2</f>
        <v>0</v>
      </c>
      <c r="H95" s="2">
        <f>+$M$2</f>
        <v>9.0227272727272684E-2</v>
      </c>
      <c r="I95" s="2">
        <f>+$M$5*$M$2</f>
        <v>0.29491686363636349</v>
      </c>
    </row>
  </sheetData>
  <sheetProtection algorithmName="SHA-512" hashValue="MvfsA1SBQS38Am8gyGvtklBGszdWJyga6vZzrpb27G/wu1MzEObZyuDcWRMOIewdLGq0FZPVIBaZW86WNKtHXA==" saltValue="QK8x9bDJJPpW15kWs7ddGA==" spinCount="100000" sheet="1" objects="1" scenarios="1"/>
  <mergeCells count="1">
    <mergeCell ref="Q2:Q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DDD29-79B7-4A19-A0E1-9687AD207700}">
  <sheetPr codeName="Hoja3"/>
  <dimension ref="A1:S237"/>
  <sheetViews>
    <sheetView workbookViewId="0">
      <selection activeCell="J1" sqref="J1:J1048576"/>
    </sheetView>
  </sheetViews>
  <sheetFormatPr baseColWidth="10" defaultRowHeight="14.4" x14ac:dyDescent="0.3"/>
  <cols>
    <col min="17" max="17" width="27.88671875" bestFit="1" customWidth="1"/>
    <col min="18" max="18" width="19.6640625" bestFit="1" customWidth="1"/>
  </cols>
  <sheetData>
    <row r="1" spans="1:19" x14ac:dyDescent="0.3">
      <c r="A1" cm="1">
        <f t="array" aca="1" ref="A1:A50" ca="1">+_xlfn._xlws.SORT(espesor,1,1)</f>
        <v>0.51</v>
      </c>
      <c r="B1" s="2">
        <f t="shared" ref="B1:B32" ca="1" si="0">+COUNT(A1)</f>
        <v>1</v>
      </c>
      <c r="C1" s="2" cm="1">
        <f t="array" aca="1" ref="C1:D19" ca="1">+_xlfn.GROUPBY(espesor,espesor,_xleta.COUNTA)</f>
        <v>0.51</v>
      </c>
      <c r="D1" s="2">
        <f ca="1"/>
        <v>2</v>
      </c>
      <c r="F1" s="2">
        <f t="shared" ref="F1:F64" ca="1" si="1">+AVERAGE(espesor)</f>
        <v>0.64500000000000013</v>
      </c>
      <c r="G1" s="2">
        <f t="shared" ref="G1:G64" ca="1" si="2">+AVERAGE(rango_movil)</f>
        <v>5.0999999999999976E-2</v>
      </c>
      <c r="H1" s="2" t="s">
        <v>3</v>
      </c>
      <c r="I1" s="2" t="s">
        <v>5</v>
      </c>
      <c r="J1" s="2" t="s">
        <v>43</v>
      </c>
      <c r="K1" s="2" t="s">
        <v>42</v>
      </c>
      <c r="L1" s="2"/>
      <c r="M1" s="2"/>
      <c r="O1" cm="1">
        <f t="array" aca="1" ref="O1" ca="1">+_xlfn.RANK.AVG(A1,espesor,1)</f>
        <v>1.5</v>
      </c>
      <c r="P1">
        <f t="shared" ref="P1:P32" ca="1" si="3">+(O1-0.5)/COUNT(espesor)</f>
        <v>0.02</v>
      </c>
      <c r="Q1">
        <f ca="1">+_xlfn.NORM.S.INV(P1)</f>
        <v>-2.0537489106318225</v>
      </c>
      <c r="R1">
        <f t="shared" ref="R1:R32" ca="1" si="4">+IF(ISNUMBER(O1),STANDARDIZE(A1,AVERAGE(espesor),_xlfn.STDEV.S(espesor)),"")</f>
        <v>-2.4643324402487941</v>
      </c>
    </row>
    <row r="2" spans="1:19" x14ac:dyDescent="0.3">
      <c r="A2">
        <f ca="1"/>
        <v>0.51</v>
      </c>
      <c r="B2" s="2">
        <f t="shared" ca="1" si="0"/>
        <v>1</v>
      </c>
      <c r="C2" s="2">
        <f ca="1"/>
        <v>0.53</v>
      </c>
      <c r="D2" s="2">
        <f ca="1"/>
        <v>2</v>
      </c>
      <c r="F2" s="2">
        <f t="shared" ca="1" si="1"/>
        <v>0.64500000000000013</v>
      </c>
      <c r="G2" s="2">
        <f t="shared" ca="1" si="2"/>
        <v>5.0999999999999976E-2</v>
      </c>
      <c r="H2" s="2">
        <f ca="1">+$F$2-(3*$G$1/1.128)</f>
        <v>0.50936170212765974</v>
      </c>
      <c r="I2" s="2">
        <f ca="1">+$F$2+(3*$G$1/1.128)</f>
        <v>0.78063829787234051</v>
      </c>
      <c r="J2" s="7">
        <f ca="1">+Datos!$M$4*$G$14</f>
        <v>0</v>
      </c>
      <c r="K2" s="2">
        <f ca="1">+Datos!$M$5*'Datos Distribucion'!$G$20</f>
        <v>0.16669859999999992</v>
      </c>
      <c r="L2" s="2"/>
      <c r="M2" s="2"/>
      <c r="O2" cm="1">
        <f t="array" aca="1" ref="O2" ca="1">+_xlfn.RANK.AVG(A2,espesor,1)</f>
        <v>1.5</v>
      </c>
      <c r="P2">
        <f t="shared" ca="1" si="3"/>
        <v>0.02</v>
      </c>
      <c r="Q2">
        <f t="shared" ref="Q2:Q65" ca="1" si="5">+_xlfn.NORM.S.INV(P2)</f>
        <v>-2.0537489106318225</v>
      </c>
      <c r="R2">
        <f t="shared" ca="1" si="4"/>
        <v>-2.4643324402487941</v>
      </c>
    </row>
    <row r="3" spans="1:19" x14ac:dyDescent="0.3">
      <c r="A3" s="2">
        <f ca="1"/>
        <v>0.53</v>
      </c>
      <c r="B3" s="2">
        <f t="shared" ca="1" si="0"/>
        <v>1</v>
      </c>
      <c r="C3" s="2">
        <f ca="1"/>
        <v>0.56000000000000005</v>
      </c>
      <c r="D3" s="2">
        <f ca="1"/>
        <v>1</v>
      </c>
      <c r="F3" s="2">
        <f t="shared" ca="1" si="1"/>
        <v>0.64500000000000013</v>
      </c>
      <c r="G3" s="2">
        <f t="shared" ca="1" si="2"/>
        <v>5.0999999999999976E-2</v>
      </c>
      <c r="H3" s="2">
        <f t="shared" ref="H3:H66" ca="1" si="6">+$F$2-(3*$G$1/1.128)</f>
        <v>0.50936170212765974</v>
      </c>
      <c r="I3" s="2">
        <f t="shared" ref="I3:I66" ca="1" si="7">+$F$2+(3*$G$1/1.128)</f>
        <v>0.78063829787234051</v>
      </c>
      <c r="J3" s="7">
        <f ca="1">+Datos!$M$4*$G$14</f>
        <v>0</v>
      </c>
      <c r="K3" s="2">
        <f ca="1">+Datos!$M$5*'Datos Distribucion'!$G$20</f>
        <v>0.16669859999999992</v>
      </c>
      <c r="L3" s="2"/>
      <c r="M3" s="2"/>
      <c r="O3" cm="1">
        <f t="array" aca="1" ref="O3" ca="1">+_xlfn.RANK.AVG(A3,espesor,1)</f>
        <v>3.5</v>
      </c>
      <c r="P3">
        <f t="shared" ca="1" si="3"/>
        <v>0.06</v>
      </c>
      <c r="Q3">
        <f t="shared" ca="1" si="5"/>
        <v>-1.554773594596853</v>
      </c>
      <c r="R3">
        <f t="shared" ca="1" si="4"/>
        <v>-2.0992461528045281</v>
      </c>
    </row>
    <row r="4" spans="1:19" x14ac:dyDescent="0.3">
      <c r="A4" s="2">
        <f ca="1"/>
        <v>0.53</v>
      </c>
      <c r="B4" s="2">
        <f t="shared" ca="1" si="0"/>
        <v>1</v>
      </c>
      <c r="C4" s="2">
        <f ca="1"/>
        <v>0.57999999999999996</v>
      </c>
      <c r="D4" s="2">
        <f ca="1"/>
        <v>1</v>
      </c>
      <c r="F4" s="2">
        <f t="shared" ca="1" si="1"/>
        <v>0.64500000000000013</v>
      </c>
      <c r="G4" s="2">
        <f t="shared" ca="1" si="2"/>
        <v>5.0999999999999976E-2</v>
      </c>
      <c r="H4" s="2">
        <f t="shared" ca="1" si="6"/>
        <v>0.50936170212765974</v>
      </c>
      <c r="I4" s="2">
        <f t="shared" ca="1" si="7"/>
        <v>0.78063829787234051</v>
      </c>
      <c r="J4" s="7">
        <f ca="1">+Datos!$M$4*$G$14</f>
        <v>0</v>
      </c>
      <c r="K4" s="2">
        <f ca="1">+Datos!$M$5*'Datos Distribucion'!$G$20</f>
        <v>0.16669859999999992</v>
      </c>
      <c r="L4" s="2"/>
      <c r="M4" s="2"/>
      <c r="O4" cm="1">
        <f t="array" aca="1" ref="O4" ca="1">+_xlfn.RANK.AVG(A4,espesor,1)</f>
        <v>3.5</v>
      </c>
      <c r="P4">
        <f t="shared" ca="1" si="3"/>
        <v>0.06</v>
      </c>
      <c r="Q4">
        <f t="shared" ca="1" si="5"/>
        <v>-1.554773594596853</v>
      </c>
      <c r="R4">
        <f t="shared" ca="1" si="4"/>
        <v>-2.0992461528045281</v>
      </c>
    </row>
    <row r="5" spans="1:19" x14ac:dyDescent="0.3">
      <c r="A5" s="2">
        <f ca="1"/>
        <v>0.56000000000000005</v>
      </c>
      <c r="B5" s="2">
        <f t="shared" ca="1" si="0"/>
        <v>1</v>
      </c>
      <c r="C5" s="2">
        <f ca="1"/>
        <v>0.59</v>
      </c>
      <c r="D5" s="2">
        <f ca="1"/>
        <v>2</v>
      </c>
      <c r="F5" s="2">
        <f t="shared" ca="1" si="1"/>
        <v>0.64500000000000013</v>
      </c>
      <c r="G5" s="2">
        <f t="shared" ca="1" si="2"/>
        <v>5.0999999999999976E-2</v>
      </c>
      <c r="H5" s="2">
        <f t="shared" ca="1" si="6"/>
        <v>0.50936170212765974</v>
      </c>
      <c r="I5" s="2">
        <f t="shared" ca="1" si="7"/>
        <v>0.78063829787234051</v>
      </c>
      <c r="J5" s="7">
        <f ca="1">+Datos!$M$4*$G$14</f>
        <v>0</v>
      </c>
      <c r="K5" s="2">
        <f ca="1">+Datos!$M$5*'Datos Distribucion'!$G$20</f>
        <v>0.16669859999999992</v>
      </c>
      <c r="L5" s="2"/>
      <c r="M5" s="2"/>
      <c r="O5" cm="1">
        <f t="array" aca="1" ref="O5" ca="1">+_xlfn.RANK.AVG(A5,espesor,1)</f>
        <v>5</v>
      </c>
      <c r="P5">
        <f t="shared" ca="1" si="3"/>
        <v>0.09</v>
      </c>
      <c r="Q5">
        <f t="shared" ca="1" si="5"/>
        <v>-1.3407550336902161</v>
      </c>
      <c r="R5">
        <f t="shared" ca="1" si="4"/>
        <v>-1.5516167216381296</v>
      </c>
    </row>
    <row r="6" spans="1:19" x14ac:dyDescent="0.3">
      <c r="A6" s="2">
        <f ca="1"/>
        <v>0.57999999999999996</v>
      </c>
      <c r="B6" s="2">
        <f t="shared" ca="1" si="0"/>
        <v>1</v>
      </c>
      <c r="C6" s="2">
        <f ca="1"/>
        <v>0.6</v>
      </c>
      <c r="D6" s="2">
        <f ca="1"/>
        <v>2</v>
      </c>
      <c r="F6" s="2">
        <f t="shared" ca="1" si="1"/>
        <v>0.64500000000000013</v>
      </c>
      <c r="G6" s="2">
        <f t="shared" ca="1" si="2"/>
        <v>5.0999999999999976E-2</v>
      </c>
      <c r="H6" s="2">
        <f t="shared" ca="1" si="6"/>
        <v>0.50936170212765974</v>
      </c>
      <c r="I6" s="2">
        <f t="shared" ca="1" si="7"/>
        <v>0.78063829787234051</v>
      </c>
      <c r="J6" s="7">
        <f ca="1">+Datos!$M$4*$G$14</f>
        <v>0</v>
      </c>
      <c r="K6" s="2">
        <f ca="1">+Datos!$M$5*'Datos Distribucion'!$G$20</f>
        <v>0.16669859999999992</v>
      </c>
      <c r="L6" s="2"/>
      <c r="M6" s="2"/>
      <c r="O6" cm="1">
        <f t="array" aca="1" ref="O6" ca="1">+_xlfn.RANK.AVG(A6,espesor,1)</f>
        <v>6</v>
      </c>
      <c r="P6">
        <f t="shared" ca="1" si="3"/>
        <v>0.11</v>
      </c>
      <c r="Q6">
        <f t="shared" ca="1" si="5"/>
        <v>-1.2265281200366105</v>
      </c>
      <c r="R6">
        <f t="shared" ca="1" si="4"/>
        <v>-1.1865304341938658</v>
      </c>
    </row>
    <row r="7" spans="1:19" x14ac:dyDescent="0.3">
      <c r="A7" s="2">
        <f ca="1"/>
        <v>0.59</v>
      </c>
      <c r="B7" s="2">
        <f t="shared" ca="1" si="0"/>
        <v>1</v>
      </c>
      <c r="C7" s="2">
        <f ca="1"/>
        <v>0.61</v>
      </c>
      <c r="D7" s="2">
        <f ca="1"/>
        <v>2</v>
      </c>
      <c r="F7" s="2">
        <f t="shared" ca="1" si="1"/>
        <v>0.64500000000000013</v>
      </c>
      <c r="G7" s="2">
        <f t="shared" ca="1" si="2"/>
        <v>5.0999999999999976E-2</v>
      </c>
      <c r="H7" s="2">
        <f t="shared" ca="1" si="6"/>
        <v>0.50936170212765974</v>
      </c>
      <c r="I7" s="2">
        <f t="shared" ca="1" si="7"/>
        <v>0.78063829787234051</v>
      </c>
      <c r="J7" s="7">
        <f ca="1">+Datos!$M$4*$G$14</f>
        <v>0</v>
      </c>
      <c r="K7" s="2">
        <f ca="1">+Datos!$M$5*'Datos Distribucion'!$G$20</f>
        <v>0.16669859999999992</v>
      </c>
      <c r="L7" s="2"/>
      <c r="M7" s="2"/>
      <c r="O7" cm="1">
        <f t="array" aca="1" ref="O7" ca="1">+_xlfn.RANK.AVG(A7,espesor,1)</f>
        <v>7.5</v>
      </c>
      <c r="P7">
        <f t="shared" ca="1" si="3"/>
        <v>0.14000000000000001</v>
      </c>
      <c r="Q7">
        <f t="shared" ca="1" si="5"/>
        <v>-1.0803193408149565</v>
      </c>
      <c r="R7">
        <f t="shared" ca="1" si="4"/>
        <v>-1.0039872904717329</v>
      </c>
    </row>
    <row r="8" spans="1:19" x14ac:dyDescent="0.3">
      <c r="A8" s="2">
        <f ca="1"/>
        <v>0.59</v>
      </c>
      <c r="B8" s="2">
        <f t="shared" ca="1" si="0"/>
        <v>1</v>
      </c>
      <c r="C8" s="2">
        <f ca="1"/>
        <v>0.63</v>
      </c>
      <c r="D8" s="2">
        <f ca="1"/>
        <v>4</v>
      </c>
      <c r="F8" s="2">
        <f t="shared" ca="1" si="1"/>
        <v>0.64500000000000013</v>
      </c>
      <c r="G8" s="2">
        <f t="shared" ca="1" si="2"/>
        <v>5.0999999999999976E-2</v>
      </c>
      <c r="H8" s="2">
        <f t="shared" ca="1" si="6"/>
        <v>0.50936170212765974</v>
      </c>
      <c r="I8" s="2">
        <f t="shared" ca="1" si="7"/>
        <v>0.78063829787234051</v>
      </c>
      <c r="J8" s="7">
        <f ca="1">+Datos!$M$4*$G$14</f>
        <v>0</v>
      </c>
      <c r="K8" s="2">
        <f ca="1">+Datos!$M$5*'Datos Distribucion'!$G$20</f>
        <v>0.16669859999999992</v>
      </c>
      <c r="L8" s="2"/>
      <c r="M8" s="2"/>
      <c r="O8" cm="1">
        <f t="array" aca="1" ref="O8" ca="1">+_xlfn.RANK.AVG(A8,espesor,1)</f>
        <v>7.5</v>
      </c>
      <c r="P8">
        <f t="shared" ca="1" si="3"/>
        <v>0.14000000000000001</v>
      </c>
      <c r="Q8">
        <f t="shared" ca="1" si="5"/>
        <v>-1.0803193408149565</v>
      </c>
      <c r="R8">
        <f t="shared" ca="1" si="4"/>
        <v>-1.0039872904717329</v>
      </c>
    </row>
    <row r="9" spans="1:19" x14ac:dyDescent="0.3">
      <c r="A9" s="2">
        <f ca="1"/>
        <v>0.6</v>
      </c>
      <c r="B9" s="2">
        <f t="shared" ca="1" si="0"/>
        <v>1</v>
      </c>
      <c r="C9" s="2">
        <f ca="1"/>
        <v>0.64</v>
      </c>
      <c r="D9" s="2">
        <f ca="1"/>
        <v>5</v>
      </c>
      <c r="F9" s="2">
        <f t="shared" ca="1" si="1"/>
        <v>0.64500000000000013</v>
      </c>
      <c r="G9" s="2">
        <f t="shared" ca="1" si="2"/>
        <v>5.0999999999999976E-2</v>
      </c>
      <c r="H9" s="2">
        <f t="shared" ca="1" si="6"/>
        <v>0.50936170212765974</v>
      </c>
      <c r="I9" s="2">
        <f t="shared" ca="1" si="7"/>
        <v>0.78063829787234051</v>
      </c>
      <c r="J9" s="7">
        <f ca="1">+Datos!$M$4*$G$14</f>
        <v>0</v>
      </c>
      <c r="K9" s="2">
        <f ca="1">+Datos!$M$5*'Datos Distribucion'!$G$20</f>
        <v>0.16669859999999992</v>
      </c>
      <c r="L9" s="2"/>
      <c r="M9" s="2"/>
      <c r="O9" cm="1">
        <f t="array" aca="1" ref="O9" ca="1">+_xlfn.RANK.AVG(A9,espesor,1)</f>
        <v>9.5</v>
      </c>
      <c r="P9">
        <f t="shared" ca="1" si="3"/>
        <v>0.18</v>
      </c>
      <c r="Q9">
        <f t="shared" ca="1" si="5"/>
        <v>-0.91536508784281501</v>
      </c>
      <c r="R9">
        <f t="shared" ca="1" si="4"/>
        <v>-0.82144414674959998</v>
      </c>
    </row>
    <row r="10" spans="1:19" x14ac:dyDescent="0.3">
      <c r="A10" s="2">
        <f ca="1"/>
        <v>0.6</v>
      </c>
      <c r="B10" s="2">
        <f t="shared" ca="1" si="0"/>
        <v>1</v>
      </c>
      <c r="C10" s="2">
        <f ca="1"/>
        <v>0.65</v>
      </c>
      <c r="D10" s="2">
        <f ca="1"/>
        <v>6</v>
      </c>
      <c r="F10" s="2">
        <f t="shared" ca="1" si="1"/>
        <v>0.64500000000000013</v>
      </c>
      <c r="G10" s="2">
        <f t="shared" ca="1" si="2"/>
        <v>5.0999999999999976E-2</v>
      </c>
      <c r="H10" s="2">
        <f t="shared" ca="1" si="6"/>
        <v>0.50936170212765974</v>
      </c>
      <c r="I10" s="2">
        <f t="shared" ca="1" si="7"/>
        <v>0.78063829787234051</v>
      </c>
      <c r="J10" s="7">
        <f ca="1">+Datos!$M$4*$G$14</f>
        <v>0</v>
      </c>
      <c r="K10" s="2">
        <f ca="1">+Datos!$M$5*'Datos Distribucion'!$G$20</f>
        <v>0.16669859999999992</v>
      </c>
      <c r="L10" s="2"/>
      <c r="M10" s="2"/>
      <c r="O10" cm="1">
        <f t="array" aca="1" ref="O10" ca="1">+_xlfn.RANK.AVG(A10,espesor,1)</f>
        <v>9.5</v>
      </c>
      <c r="P10">
        <f t="shared" ca="1" si="3"/>
        <v>0.18</v>
      </c>
      <c r="Q10">
        <f t="shared" ca="1" si="5"/>
        <v>-0.91536508784281501</v>
      </c>
      <c r="R10">
        <f t="shared" ca="1" si="4"/>
        <v>-0.82144414674959998</v>
      </c>
    </row>
    <row r="11" spans="1:19" x14ac:dyDescent="0.3">
      <c r="A11" s="2">
        <f ca="1"/>
        <v>0.61</v>
      </c>
      <c r="B11" s="2">
        <f t="shared" ca="1" si="0"/>
        <v>1</v>
      </c>
      <c r="C11" s="2">
        <f ca="1"/>
        <v>0.66</v>
      </c>
      <c r="D11" s="2">
        <f ca="1"/>
        <v>6</v>
      </c>
      <c r="F11" s="2">
        <f t="shared" ca="1" si="1"/>
        <v>0.64500000000000013</v>
      </c>
      <c r="G11" s="2">
        <f t="shared" ca="1" si="2"/>
        <v>5.0999999999999976E-2</v>
      </c>
      <c r="H11" s="2">
        <f t="shared" ca="1" si="6"/>
        <v>0.50936170212765974</v>
      </c>
      <c r="I11" s="2">
        <f t="shared" ca="1" si="7"/>
        <v>0.78063829787234051</v>
      </c>
      <c r="J11" s="7">
        <f ca="1">+Datos!$M$4*$G$14</f>
        <v>0</v>
      </c>
      <c r="K11" s="2">
        <f ca="1">+Datos!$M$5*'Datos Distribucion'!$G$20</f>
        <v>0.16669859999999992</v>
      </c>
      <c r="L11" s="2"/>
      <c r="M11" s="2"/>
      <c r="O11" cm="1">
        <f t="array" aca="1" ref="O11" ca="1">+_xlfn.RANK.AVG(A11,espesor,1)</f>
        <v>11.5</v>
      </c>
      <c r="P11">
        <f t="shared" ca="1" si="3"/>
        <v>0.22</v>
      </c>
      <c r="Q11">
        <f t="shared" ca="1" si="5"/>
        <v>-0.77219321418868503</v>
      </c>
      <c r="R11">
        <f t="shared" ca="1" si="4"/>
        <v>-0.63890100302746711</v>
      </c>
    </row>
    <row r="12" spans="1:19" x14ac:dyDescent="0.3">
      <c r="A12" s="2">
        <f ca="1"/>
        <v>0.61</v>
      </c>
      <c r="B12" s="2">
        <f t="shared" ca="1" si="0"/>
        <v>1</v>
      </c>
      <c r="C12" s="2">
        <f ca="1"/>
        <v>0.67</v>
      </c>
      <c r="D12" s="2">
        <f ca="1"/>
        <v>3</v>
      </c>
      <c r="F12" s="2">
        <f t="shared" ca="1" si="1"/>
        <v>0.64500000000000013</v>
      </c>
      <c r="G12" s="2">
        <f t="shared" ca="1" si="2"/>
        <v>5.0999999999999976E-2</v>
      </c>
      <c r="H12" s="2">
        <f t="shared" ca="1" si="6"/>
        <v>0.50936170212765974</v>
      </c>
      <c r="I12" s="2">
        <f t="shared" ca="1" si="7"/>
        <v>0.78063829787234051</v>
      </c>
      <c r="J12" s="7">
        <f ca="1">+Datos!$M$4*$G$14</f>
        <v>0</v>
      </c>
      <c r="K12" s="2">
        <f ca="1">+Datos!$M$5*'Datos Distribucion'!$G$20</f>
        <v>0.16669859999999992</v>
      </c>
      <c r="L12" s="2"/>
      <c r="M12" s="2"/>
      <c r="O12" cm="1">
        <f t="array" aca="1" ref="O12" ca="1">+_xlfn.RANK.AVG(A12,espesor,1)</f>
        <v>11.5</v>
      </c>
      <c r="P12">
        <f t="shared" ca="1" si="3"/>
        <v>0.22</v>
      </c>
      <c r="Q12">
        <f t="shared" ca="1" si="5"/>
        <v>-0.77219321418868503</v>
      </c>
      <c r="R12">
        <f t="shared" ca="1" si="4"/>
        <v>-0.63890100302746711</v>
      </c>
    </row>
    <row r="13" spans="1:19" x14ac:dyDescent="0.3">
      <c r="A13" s="2">
        <f ca="1"/>
        <v>0.63</v>
      </c>
      <c r="B13" s="2">
        <f t="shared" ca="1" si="0"/>
        <v>1</v>
      </c>
      <c r="C13" s="2">
        <f ca="1"/>
        <v>0.68</v>
      </c>
      <c r="D13" s="2">
        <f ca="1"/>
        <v>3</v>
      </c>
      <c r="F13" s="2">
        <f t="shared" ca="1" si="1"/>
        <v>0.64500000000000013</v>
      </c>
      <c r="G13" s="2">
        <f t="shared" ca="1" si="2"/>
        <v>5.0999999999999976E-2</v>
      </c>
      <c r="H13" s="2">
        <f t="shared" ca="1" si="6"/>
        <v>0.50936170212765974</v>
      </c>
      <c r="I13" s="2">
        <f t="shared" ca="1" si="7"/>
        <v>0.78063829787234051</v>
      </c>
      <c r="J13" s="7">
        <f ca="1">+Datos!$M$4*$G$14</f>
        <v>0</v>
      </c>
      <c r="K13" s="2">
        <f ca="1">+Datos!$M$5*'Datos Distribucion'!$G$20</f>
        <v>0.16669859999999992</v>
      </c>
      <c r="L13" s="2"/>
      <c r="M13" s="2"/>
      <c r="O13" cm="1">
        <f t="array" aca="1" ref="O13" ca="1">+_xlfn.RANK.AVG(A13,espesor,1)</f>
        <v>14.5</v>
      </c>
      <c r="P13">
        <f t="shared" ca="1" si="3"/>
        <v>0.28000000000000003</v>
      </c>
      <c r="Q13">
        <f t="shared" ca="1" si="5"/>
        <v>-0.58284150727121631</v>
      </c>
      <c r="R13">
        <f t="shared" ca="1" si="4"/>
        <v>-0.27381471558320136</v>
      </c>
    </row>
    <row r="14" spans="1:19" x14ac:dyDescent="0.3">
      <c r="A14" s="2">
        <f ca="1"/>
        <v>0.63</v>
      </c>
      <c r="B14" s="2">
        <f t="shared" ca="1" si="0"/>
        <v>1</v>
      </c>
      <c r="C14" s="2">
        <f ca="1"/>
        <v>0.69</v>
      </c>
      <c r="D14" s="2">
        <f ca="1"/>
        <v>3</v>
      </c>
      <c r="F14" s="2">
        <f t="shared" ca="1" si="1"/>
        <v>0.64500000000000013</v>
      </c>
      <c r="G14" s="2">
        <f t="shared" ca="1" si="2"/>
        <v>5.0999999999999976E-2</v>
      </c>
      <c r="H14" s="2">
        <f t="shared" ca="1" si="6"/>
        <v>0.50936170212765974</v>
      </c>
      <c r="I14" s="2">
        <f t="shared" ca="1" si="7"/>
        <v>0.78063829787234051</v>
      </c>
      <c r="J14" s="7">
        <f ca="1">+Datos!$M$4*$G$14</f>
        <v>0</v>
      </c>
      <c r="K14" s="2">
        <f ca="1">+Datos!$M$5*'Datos Distribucion'!$G$20</f>
        <v>0.16669859999999992</v>
      </c>
      <c r="L14" s="2"/>
      <c r="M14" s="2"/>
      <c r="O14" cm="1">
        <f t="array" aca="1" ref="O14" ca="1">+_xlfn.RANK.AVG(A14,espesor,1)</f>
        <v>14.5</v>
      </c>
      <c r="P14">
        <f t="shared" ca="1" si="3"/>
        <v>0.28000000000000003</v>
      </c>
      <c r="Q14">
        <f t="shared" ca="1" si="5"/>
        <v>-0.58284150727121631</v>
      </c>
      <c r="R14">
        <f t="shared" ca="1" si="4"/>
        <v>-0.27381471558320136</v>
      </c>
    </row>
    <row r="15" spans="1:19" x14ac:dyDescent="0.3">
      <c r="A15" s="2">
        <f ca="1"/>
        <v>0.63</v>
      </c>
      <c r="B15" s="2">
        <f t="shared" ca="1" si="0"/>
        <v>1</v>
      </c>
      <c r="C15" s="2">
        <f ca="1"/>
        <v>0.7</v>
      </c>
      <c r="D15" s="2">
        <f ca="1"/>
        <v>4</v>
      </c>
      <c r="F15" s="2">
        <f t="shared" ca="1" si="1"/>
        <v>0.64500000000000013</v>
      </c>
      <c r="G15" s="2">
        <f t="shared" ca="1" si="2"/>
        <v>5.0999999999999976E-2</v>
      </c>
      <c r="H15" s="2">
        <f t="shared" ca="1" si="6"/>
        <v>0.50936170212765974</v>
      </c>
      <c r="I15" s="2">
        <f t="shared" ca="1" si="7"/>
        <v>0.78063829787234051</v>
      </c>
      <c r="J15" s="7">
        <f ca="1">+Datos!$M$4*$G$14</f>
        <v>0</v>
      </c>
      <c r="K15" s="2">
        <f ca="1">+Datos!$M$5*'Datos Distribucion'!$G$20</f>
        <v>0.16669859999999992</v>
      </c>
      <c r="L15" s="2"/>
      <c r="M15" s="2"/>
      <c r="O15" cm="1">
        <f t="array" aca="1" ref="O15" ca="1">+_xlfn.RANK.AVG(A15,espesor,1)</f>
        <v>14.5</v>
      </c>
      <c r="P15">
        <f t="shared" ca="1" si="3"/>
        <v>0.28000000000000003</v>
      </c>
      <c r="Q15">
        <f t="shared" ca="1" si="5"/>
        <v>-0.58284150727121631</v>
      </c>
      <c r="R15">
        <f t="shared" ca="1" si="4"/>
        <v>-0.27381471558320136</v>
      </c>
    </row>
    <row r="16" spans="1:19" x14ac:dyDescent="0.3">
      <c r="A16" s="2">
        <f ca="1"/>
        <v>0.63</v>
      </c>
      <c r="B16" s="2">
        <f t="shared" ca="1" si="0"/>
        <v>1</v>
      </c>
      <c r="C16" s="2">
        <f ca="1"/>
        <v>0.71</v>
      </c>
      <c r="D16" s="2">
        <f ca="1"/>
        <v>2</v>
      </c>
      <c r="F16" s="2">
        <f t="shared" ca="1" si="1"/>
        <v>0.64500000000000013</v>
      </c>
      <c r="G16" s="2">
        <f t="shared" ca="1" si="2"/>
        <v>5.0999999999999976E-2</v>
      </c>
      <c r="H16" s="2">
        <f t="shared" ca="1" si="6"/>
        <v>0.50936170212765974</v>
      </c>
      <c r="I16" s="2">
        <f t="shared" ca="1" si="7"/>
        <v>0.78063829787234051</v>
      </c>
      <c r="J16" s="7">
        <f ca="1">+Datos!$M$4*$G$14</f>
        <v>0</v>
      </c>
      <c r="K16" s="2">
        <f ca="1">+Datos!$M$5*'Datos Distribucion'!$G$20</f>
        <v>0.16669859999999992</v>
      </c>
      <c r="L16" s="2"/>
      <c r="M16" s="2"/>
      <c r="O16" cm="1">
        <f t="array" aca="1" ref="O16" ca="1">+_xlfn.RANK.AVG(A16,espesor,1)</f>
        <v>14.5</v>
      </c>
      <c r="P16">
        <f t="shared" ca="1" si="3"/>
        <v>0.28000000000000003</v>
      </c>
      <c r="Q16">
        <f t="shared" ca="1" si="5"/>
        <v>-0.58284150727121631</v>
      </c>
      <c r="R16">
        <f t="shared" ca="1" si="4"/>
        <v>-0.27381471558320136</v>
      </c>
    </row>
    <row r="17" spans="1:18" x14ac:dyDescent="0.3">
      <c r="A17" s="2">
        <f ca="1"/>
        <v>0.64</v>
      </c>
      <c r="B17" s="2">
        <f t="shared" ca="1" si="0"/>
        <v>1</v>
      </c>
      <c r="C17" s="2">
        <f ca="1"/>
        <v>0.73</v>
      </c>
      <c r="D17" s="2">
        <f ca="1"/>
        <v>1</v>
      </c>
      <c r="F17" s="2">
        <f t="shared" ca="1" si="1"/>
        <v>0.64500000000000013</v>
      </c>
      <c r="G17" s="2">
        <f t="shared" ca="1" si="2"/>
        <v>5.0999999999999976E-2</v>
      </c>
      <c r="H17" s="2">
        <f t="shared" ca="1" si="6"/>
        <v>0.50936170212765974</v>
      </c>
      <c r="I17" s="2">
        <f t="shared" ca="1" si="7"/>
        <v>0.78063829787234051</v>
      </c>
      <c r="J17" s="7">
        <f ca="1">+Datos!$M$4*$G$14</f>
        <v>0</v>
      </c>
      <c r="K17" s="2">
        <f ca="1">+Datos!$M$5*'Datos Distribucion'!$G$20</f>
        <v>0.16669859999999992</v>
      </c>
      <c r="L17" s="2"/>
      <c r="M17" s="2"/>
      <c r="O17" cm="1">
        <f t="array" aca="1" ref="O17" ca="1">+_xlfn.RANK.AVG(A17,espesor,1)</f>
        <v>19</v>
      </c>
      <c r="P17">
        <f t="shared" ca="1" si="3"/>
        <v>0.37</v>
      </c>
      <c r="Q17">
        <f t="shared" ca="1" si="5"/>
        <v>-0.33185334643681658</v>
      </c>
      <c r="R17">
        <f t="shared" ca="1" si="4"/>
        <v>-9.1271571861068462E-2</v>
      </c>
    </row>
    <row r="18" spans="1:18" x14ac:dyDescent="0.3">
      <c r="A18" s="2">
        <f ca="1"/>
        <v>0.64</v>
      </c>
      <c r="B18" s="2">
        <f t="shared" ca="1" si="0"/>
        <v>1</v>
      </c>
      <c r="C18" s="2">
        <f ca="1"/>
        <v>0.78</v>
      </c>
      <c r="D18" s="2">
        <f ca="1"/>
        <v>1</v>
      </c>
      <c r="F18" s="2">
        <f t="shared" ca="1" si="1"/>
        <v>0.64500000000000013</v>
      </c>
      <c r="G18" s="2">
        <f t="shared" ca="1" si="2"/>
        <v>5.0999999999999976E-2</v>
      </c>
      <c r="H18" s="2">
        <f t="shared" ca="1" si="6"/>
        <v>0.50936170212765974</v>
      </c>
      <c r="I18" s="2">
        <f t="shared" ca="1" si="7"/>
        <v>0.78063829787234051</v>
      </c>
      <c r="J18" s="7">
        <f ca="1">+Datos!$M$4*$G$14</f>
        <v>0</v>
      </c>
      <c r="K18" s="2">
        <f ca="1">+Datos!$M$5*'Datos Distribucion'!$G$20</f>
        <v>0.16669859999999992</v>
      </c>
      <c r="L18" s="2"/>
      <c r="M18" s="2"/>
      <c r="O18" cm="1">
        <f t="array" aca="1" ref="O18" ca="1">+_xlfn.RANK.AVG(A18,espesor,1)</f>
        <v>19</v>
      </c>
      <c r="P18">
        <f t="shared" ca="1" si="3"/>
        <v>0.37</v>
      </c>
      <c r="Q18">
        <f t="shared" ca="1" si="5"/>
        <v>-0.33185334643681658</v>
      </c>
      <c r="R18">
        <f t="shared" ca="1" si="4"/>
        <v>-9.1271571861068462E-2</v>
      </c>
    </row>
    <row r="19" spans="1:18" x14ac:dyDescent="0.3">
      <c r="A19" s="2">
        <f ca="1"/>
        <v>0.64</v>
      </c>
      <c r="B19" s="2">
        <f t="shared" ca="1" si="0"/>
        <v>1</v>
      </c>
      <c r="C19" s="2" t="str">
        <f ca="1"/>
        <v>Total</v>
      </c>
      <c r="D19" s="2">
        <f ca="1"/>
        <v>50</v>
      </c>
      <c r="F19" s="2">
        <f t="shared" ca="1" si="1"/>
        <v>0.64500000000000013</v>
      </c>
      <c r="G19" s="2">
        <f t="shared" ca="1" si="2"/>
        <v>5.0999999999999976E-2</v>
      </c>
      <c r="H19" s="2">
        <f t="shared" ca="1" si="6"/>
        <v>0.50936170212765974</v>
      </c>
      <c r="I19" s="2">
        <f t="shared" ca="1" si="7"/>
        <v>0.78063829787234051</v>
      </c>
      <c r="J19" s="7">
        <f ca="1">+Datos!$M$4*$G$14</f>
        <v>0</v>
      </c>
      <c r="K19" s="2">
        <f ca="1">+Datos!$M$5*'Datos Distribucion'!$G$20</f>
        <v>0.16669859999999992</v>
      </c>
      <c r="L19" s="2"/>
      <c r="M19" s="2"/>
      <c r="O19" cm="1">
        <f t="array" aca="1" ref="O19" ca="1">+_xlfn.RANK.AVG(A19,espesor,1)</f>
        <v>19</v>
      </c>
      <c r="P19">
        <f t="shared" ca="1" si="3"/>
        <v>0.37</v>
      </c>
      <c r="Q19">
        <f t="shared" ca="1" si="5"/>
        <v>-0.33185334643681658</v>
      </c>
      <c r="R19">
        <f t="shared" ca="1" si="4"/>
        <v>-9.1271571861068462E-2</v>
      </c>
    </row>
    <row r="20" spans="1:18" x14ac:dyDescent="0.3">
      <c r="A20" s="2">
        <f ca="1"/>
        <v>0.64</v>
      </c>
      <c r="B20" s="2">
        <f t="shared" ca="1" si="0"/>
        <v>1</v>
      </c>
      <c r="C20" s="2"/>
      <c r="D20" s="2"/>
      <c r="F20" s="2">
        <f t="shared" ca="1" si="1"/>
        <v>0.64500000000000013</v>
      </c>
      <c r="G20" s="2">
        <f t="shared" ca="1" si="2"/>
        <v>5.0999999999999976E-2</v>
      </c>
      <c r="H20" s="2">
        <f t="shared" ca="1" si="6"/>
        <v>0.50936170212765974</v>
      </c>
      <c r="I20" s="2">
        <f t="shared" ca="1" si="7"/>
        <v>0.78063829787234051</v>
      </c>
      <c r="J20" s="7">
        <f ca="1">+Datos!$M$4*$G$14</f>
        <v>0</v>
      </c>
      <c r="K20" s="2">
        <f ca="1">+Datos!$M$5*'Datos Distribucion'!$G$20</f>
        <v>0.16669859999999992</v>
      </c>
      <c r="L20" s="2"/>
      <c r="M20" s="2"/>
      <c r="O20" cm="1">
        <f t="array" aca="1" ref="O20" ca="1">+_xlfn.RANK.AVG(A20,espesor,1)</f>
        <v>19</v>
      </c>
      <c r="P20">
        <f t="shared" ca="1" si="3"/>
        <v>0.37</v>
      </c>
      <c r="Q20">
        <f t="shared" ca="1" si="5"/>
        <v>-0.33185334643681658</v>
      </c>
      <c r="R20">
        <f t="shared" ca="1" si="4"/>
        <v>-9.1271571861068462E-2</v>
      </c>
    </row>
    <row r="21" spans="1:18" x14ac:dyDescent="0.3">
      <c r="A21" s="2">
        <f ca="1"/>
        <v>0.64</v>
      </c>
      <c r="B21" s="2">
        <f t="shared" ca="1" si="0"/>
        <v>1</v>
      </c>
      <c r="C21" s="2"/>
      <c r="D21" s="2"/>
      <c r="F21" s="2">
        <f t="shared" ca="1" si="1"/>
        <v>0.64500000000000013</v>
      </c>
      <c r="G21" s="2">
        <f t="shared" ca="1" si="2"/>
        <v>5.0999999999999976E-2</v>
      </c>
      <c r="H21" s="2">
        <f t="shared" ca="1" si="6"/>
        <v>0.50936170212765974</v>
      </c>
      <c r="I21" s="2">
        <f t="shared" ca="1" si="7"/>
        <v>0.78063829787234051</v>
      </c>
      <c r="J21" s="7">
        <f ca="1">+Datos!$M$4*$G$14</f>
        <v>0</v>
      </c>
      <c r="K21" s="2">
        <f ca="1">+Datos!$M$5*'Datos Distribucion'!$G$20</f>
        <v>0.16669859999999992</v>
      </c>
      <c r="L21" s="2"/>
      <c r="M21" s="2"/>
      <c r="O21" cm="1">
        <f t="array" aca="1" ref="O21" ca="1">+_xlfn.RANK.AVG(A21,espesor,1)</f>
        <v>19</v>
      </c>
      <c r="P21">
        <f t="shared" ca="1" si="3"/>
        <v>0.37</v>
      </c>
      <c r="Q21">
        <f t="shared" ca="1" si="5"/>
        <v>-0.33185334643681658</v>
      </c>
      <c r="R21">
        <f t="shared" ca="1" si="4"/>
        <v>-9.1271571861068462E-2</v>
      </c>
    </row>
    <row r="22" spans="1:18" x14ac:dyDescent="0.3">
      <c r="A22" s="2">
        <f ca="1"/>
        <v>0.65</v>
      </c>
      <c r="B22" s="2">
        <f t="shared" ca="1" si="0"/>
        <v>1</v>
      </c>
      <c r="C22" s="2"/>
      <c r="D22" s="2"/>
      <c r="F22" s="2">
        <f t="shared" ca="1" si="1"/>
        <v>0.64500000000000013</v>
      </c>
      <c r="G22" s="2">
        <f t="shared" ca="1" si="2"/>
        <v>5.0999999999999976E-2</v>
      </c>
      <c r="H22" s="2">
        <f t="shared" ca="1" si="6"/>
        <v>0.50936170212765974</v>
      </c>
      <c r="I22" s="2">
        <f t="shared" ca="1" si="7"/>
        <v>0.78063829787234051</v>
      </c>
      <c r="J22" s="7">
        <f ca="1">+Datos!$M$4*$G$14</f>
        <v>0</v>
      </c>
      <c r="K22" s="2">
        <f ca="1">+Datos!$M$5*'Datos Distribucion'!$G$20</f>
        <v>0.16669859999999992</v>
      </c>
      <c r="L22" s="2"/>
      <c r="M22" s="2"/>
      <c r="O22" cm="1">
        <f t="array" aca="1" ref="O22" ca="1">+_xlfn.RANK.AVG(A22,espesor,1)</f>
        <v>24.5</v>
      </c>
      <c r="P22">
        <f t="shared" ca="1" si="3"/>
        <v>0.48</v>
      </c>
      <c r="Q22">
        <f t="shared" ca="1" si="5"/>
        <v>-5.0153583464733656E-2</v>
      </c>
      <c r="R22">
        <f t="shared" ca="1" si="4"/>
        <v>9.127157186106441E-2</v>
      </c>
    </row>
    <row r="23" spans="1:18" x14ac:dyDescent="0.3">
      <c r="A23" s="2">
        <f ca="1"/>
        <v>0.65</v>
      </c>
      <c r="B23" s="2">
        <f t="shared" ca="1" si="0"/>
        <v>1</v>
      </c>
      <c r="C23" s="2"/>
      <c r="D23" s="2"/>
      <c r="F23" s="2">
        <f t="shared" ca="1" si="1"/>
        <v>0.64500000000000013</v>
      </c>
      <c r="G23" s="2">
        <f t="shared" ca="1" si="2"/>
        <v>5.0999999999999976E-2</v>
      </c>
      <c r="H23" s="2">
        <f t="shared" ca="1" si="6"/>
        <v>0.50936170212765974</v>
      </c>
      <c r="I23" s="2">
        <f t="shared" ca="1" si="7"/>
        <v>0.78063829787234051</v>
      </c>
      <c r="J23" s="7">
        <f ca="1">+Datos!$M$4*$G$14</f>
        <v>0</v>
      </c>
      <c r="K23" s="2">
        <f ca="1">+Datos!$M$5*'Datos Distribucion'!$G$20</f>
        <v>0.16669859999999992</v>
      </c>
      <c r="L23" s="2"/>
      <c r="M23" s="2"/>
      <c r="O23" cm="1">
        <f t="array" aca="1" ref="O23" ca="1">+_xlfn.RANK.AVG(A23,espesor,1)</f>
        <v>24.5</v>
      </c>
      <c r="P23">
        <f t="shared" ca="1" si="3"/>
        <v>0.48</v>
      </c>
      <c r="Q23">
        <f t="shared" ca="1" si="5"/>
        <v>-5.0153583464733656E-2</v>
      </c>
      <c r="R23">
        <f t="shared" ca="1" si="4"/>
        <v>9.127157186106441E-2</v>
      </c>
    </row>
    <row r="24" spans="1:18" x14ac:dyDescent="0.3">
      <c r="A24" s="2">
        <f ca="1"/>
        <v>0.65</v>
      </c>
      <c r="B24" s="2">
        <f t="shared" ca="1" si="0"/>
        <v>1</v>
      </c>
      <c r="C24" s="2"/>
      <c r="D24" s="2"/>
      <c r="F24" s="2">
        <f t="shared" ca="1" si="1"/>
        <v>0.64500000000000013</v>
      </c>
      <c r="G24" s="2">
        <f t="shared" ca="1" si="2"/>
        <v>5.0999999999999976E-2</v>
      </c>
      <c r="H24" s="2">
        <f t="shared" ca="1" si="6"/>
        <v>0.50936170212765974</v>
      </c>
      <c r="I24" s="2">
        <f t="shared" ca="1" si="7"/>
        <v>0.78063829787234051</v>
      </c>
      <c r="J24" s="7">
        <f ca="1">+Datos!$M$4*$G$14</f>
        <v>0</v>
      </c>
      <c r="K24" s="2">
        <f ca="1">+Datos!$M$5*'Datos Distribucion'!$G$20</f>
        <v>0.16669859999999992</v>
      </c>
      <c r="L24" s="2"/>
      <c r="M24" s="2"/>
      <c r="O24" cm="1">
        <f t="array" aca="1" ref="O24" ca="1">+_xlfn.RANK.AVG(A24,espesor,1)</f>
        <v>24.5</v>
      </c>
      <c r="P24">
        <f t="shared" ca="1" si="3"/>
        <v>0.48</v>
      </c>
      <c r="Q24">
        <f t="shared" ca="1" si="5"/>
        <v>-5.0153583464733656E-2</v>
      </c>
      <c r="R24">
        <f t="shared" ca="1" si="4"/>
        <v>9.127157186106441E-2</v>
      </c>
    </row>
    <row r="25" spans="1:18" x14ac:dyDescent="0.3">
      <c r="A25" s="2">
        <f ca="1"/>
        <v>0.65</v>
      </c>
      <c r="B25" s="2">
        <f t="shared" ca="1" si="0"/>
        <v>1</v>
      </c>
      <c r="C25" s="2"/>
      <c r="D25" s="2"/>
      <c r="F25" s="2">
        <f t="shared" ca="1" si="1"/>
        <v>0.64500000000000013</v>
      </c>
      <c r="G25" s="2">
        <f t="shared" ca="1" si="2"/>
        <v>5.0999999999999976E-2</v>
      </c>
      <c r="H25" s="2">
        <f t="shared" ca="1" si="6"/>
        <v>0.50936170212765974</v>
      </c>
      <c r="I25" s="2">
        <f t="shared" ca="1" si="7"/>
        <v>0.78063829787234051</v>
      </c>
      <c r="J25" s="7">
        <f ca="1">+Datos!$M$4*$G$14</f>
        <v>0</v>
      </c>
      <c r="K25" s="2">
        <f ca="1">+Datos!$M$5*'Datos Distribucion'!$G$20</f>
        <v>0.16669859999999992</v>
      </c>
      <c r="L25" s="2"/>
      <c r="M25" s="2"/>
      <c r="O25" cm="1">
        <f t="array" aca="1" ref="O25" ca="1">+_xlfn.RANK.AVG(A25,espesor,1)</f>
        <v>24.5</v>
      </c>
      <c r="P25">
        <f t="shared" ca="1" si="3"/>
        <v>0.48</v>
      </c>
      <c r="Q25">
        <f t="shared" ca="1" si="5"/>
        <v>-5.0153583464733656E-2</v>
      </c>
      <c r="R25">
        <f t="shared" ca="1" si="4"/>
        <v>9.127157186106441E-2</v>
      </c>
    </row>
    <row r="26" spans="1:18" x14ac:dyDescent="0.3">
      <c r="A26" s="2">
        <f ca="1"/>
        <v>0.65</v>
      </c>
      <c r="B26" s="2">
        <f t="shared" ca="1" si="0"/>
        <v>1</v>
      </c>
      <c r="C26" s="2"/>
      <c r="D26" s="2"/>
      <c r="F26" s="2">
        <f t="shared" ca="1" si="1"/>
        <v>0.64500000000000013</v>
      </c>
      <c r="G26" s="2">
        <f t="shared" ca="1" si="2"/>
        <v>5.0999999999999976E-2</v>
      </c>
      <c r="H26" s="2">
        <f t="shared" ca="1" si="6"/>
        <v>0.50936170212765974</v>
      </c>
      <c r="I26" s="2">
        <f t="shared" ca="1" si="7"/>
        <v>0.78063829787234051</v>
      </c>
      <c r="J26" s="7">
        <f ca="1">+Datos!$M$4*$G$14</f>
        <v>0</v>
      </c>
      <c r="K26" s="2">
        <f ca="1">+Datos!$M$5*'Datos Distribucion'!$G$20</f>
        <v>0.16669859999999992</v>
      </c>
      <c r="L26" s="2"/>
      <c r="M26" s="2"/>
      <c r="O26" cm="1">
        <f t="array" aca="1" ref="O26" ca="1">+_xlfn.RANK.AVG(A26,espesor,1)</f>
        <v>24.5</v>
      </c>
      <c r="P26">
        <f t="shared" ca="1" si="3"/>
        <v>0.48</v>
      </c>
      <c r="Q26">
        <f t="shared" ca="1" si="5"/>
        <v>-5.0153583464733656E-2</v>
      </c>
      <c r="R26">
        <f t="shared" ca="1" si="4"/>
        <v>9.127157186106441E-2</v>
      </c>
    </row>
    <row r="27" spans="1:18" x14ac:dyDescent="0.3">
      <c r="A27" s="2">
        <f ca="1"/>
        <v>0.65</v>
      </c>
      <c r="B27" s="2">
        <f t="shared" ca="1" si="0"/>
        <v>1</v>
      </c>
      <c r="C27" s="2"/>
      <c r="D27" s="2"/>
      <c r="F27" s="2">
        <f t="shared" ca="1" si="1"/>
        <v>0.64500000000000013</v>
      </c>
      <c r="G27" s="2">
        <f t="shared" ca="1" si="2"/>
        <v>5.0999999999999976E-2</v>
      </c>
      <c r="H27" s="2">
        <f t="shared" ca="1" si="6"/>
        <v>0.50936170212765974</v>
      </c>
      <c r="I27" s="2">
        <f t="shared" ca="1" si="7"/>
        <v>0.78063829787234051</v>
      </c>
      <c r="J27" s="7">
        <f ca="1">+Datos!$M$4*$G$14</f>
        <v>0</v>
      </c>
      <c r="K27" s="2">
        <f ca="1">+Datos!$M$5*'Datos Distribucion'!$G$20</f>
        <v>0.16669859999999992</v>
      </c>
      <c r="L27" s="2"/>
      <c r="M27" s="2"/>
      <c r="O27" cm="1">
        <f t="array" aca="1" ref="O27" ca="1">+_xlfn.RANK.AVG(A27,espesor,1)</f>
        <v>24.5</v>
      </c>
      <c r="P27">
        <f t="shared" ca="1" si="3"/>
        <v>0.48</v>
      </c>
      <c r="Q27">
        <f t="shared" ca="1" si="5"/>
        <v>-5.0153583464733656E-2</v>
      </c>
      <c r="R27">
        <f t="shared" ca="1" si="4"/>
        <v>9.127157186106441E-2</v>
      </c>
    </row>
    <row r="28" spans="1:18" x14ac:dyDescent="0.3">
      <c r="A28" s="2">
        <f ca="1"/>
        <v>0.66</v>
      </c>
      <c r="B28" s="2">
        <f t="shared" ca="1" si="0"/>
        <v>1</v>
      </c>
      <c r="C28" s="2"/>
      <c r="D28" s="2"/>
      <c r="F28" s="2">
        <f t="shared" ca="1" si="1"/>
        <v>0.64500000000000013</v>
      </c>
      <c r="G28" s="2">
        <f t="shared" ca="1" si="2"/>
        <v>5.0999999999999976E-2</v>
      </c>
      <c r="H28" s="2">
        <f t="shared" ca="1" si="6"/>
        <v>0.50936170212765974</v>
      </c>
      <c r="I28" s="2">
        <f t="shared" ca="1" si="7"/>
        <v>0.78063829787234051</v>
      </c>
      <c r="J28" s="7">
        <f ca="1">+Datos!$M$4*$G$14</f>
        <v>0</v>
      </c>
      <c r="K28" s="2">
        <f ca="1">+Datos!$M$5*'Datos Distribucion'!$G$20</f>
        <v>0.16669859999999992</v>
      </c>
      <c r="L28" s="2"/>
      <c r="M28" s="2"/>
      <c r="O28" cm="1">
        <f t="array" aca="1" ref="O28" ca="1">+_xlfn.RANK.AVG(A28,espesor,1)</f>
        <v>30.5</v>
      </c>
      <c r="P28">
        <f t="shared" ca="1" si="3"/>
        <v>0.6</v>
      </c>
      <c r="Q28">
        <f t="shared" ca="1" si="5"/>
        <v>0.25334710313579978</v>
      </c>
      <c r="R28">
        <f t="shared" ca="1" si="4"/>
        <v>0.27381471558319731</v>
      </c>
    </row>
    <row r="29" spans="1:18" x14ac:dyDescent="0.3">
      <c r="A29" s="2">
        <f ca="1"/>
        <v>0.66</v>
      </c>
      <c r="B29" s="2">
        <f t="shared" ca="1" si="0"/>
        <v>1</v>
      </c>
      <c r="C29" s="2"/>
      <c r="D29" s="2"/>
      <c r="F29" s="2">
        <f t="shared" ca="1" si="1"/>
        <v>0.64500000000000013</v>
      </c>
      <c r="G29" s="2">
        <f t="shared" ca="1" si="2"/>
        <v>5.0999999999999976E-2</v>
      </c>
      <c r="H29" s="2">
        <f t="shared" ca="1" si="6"/>
        <v>0.50936170212765974</v>
      </c>
      <c r="I29" s="2">
        <f t="shared" ca="1" si="7"/>
        <v>0.78063829787234051</v>
      </c>
      <c r="J29" s="7">
        <f ca="1">+Datos!$M$4*$G$14</f>
        <v>0</v>
      </c>
      <c r="K29" s="2">
        <f ca="1">+Datos!$M$5*'Datos Distribucion'!$G$20</f>
        <v>0.16669859999999992</v>
      </c>
      <c r="L29" s="2"/>
      <c r="M29" s="2"/>
      <c r="O29" cm="1">
        <f t="array" aca="1" ref="O29" ca="1">+_xlfn.RANK.AVG(A29,espesor,1)</f>
        <v>30.5</v>
      </c>
      <c r="P29">
        <f t="shared" ca="1" si="3"/>
        <v>0.6</v>
      </c>
      <c r="Q29">
        <f t="shared" ca="1" si="5"/>
        <v>0.25334710313579978</v>
      </c>
      <c r="R29">
        <f t="shared" ca="1" si="4"/>
        <v>0.27381471558319731</v>
      </c>
    </row>
    <row r="30" spans="1:18" x14ac:dyDescent="0.3">
      <c r="A30" s="2">
        <f ca="1"/>
        <v>0.66</v>
      </c>
      <c r="B30" s="2">
        <f t="shared" ca="1" si="0"/>
        <v>1</v>
      </c>
      <c r="C30" s="2"/>
      <c r="D30" s="2"/>
      <c r="F30" s="2">
        <f t="shared" ca="1" si="1"/>
        <v>0.64500000000000013</v>
      </c>
      <c r="G30" s="2">
        <f t="shared" ca="1" si="2"/>
        <v>5.0999999999999976E-2</v>
      </c>
      <c r="H30" s="2">
        <f t="shared" ca="1" si="6"/>
        <v>0.50936170212765974</v>
      </c>
      <c r="I30" s="2">
        <f t="shared" ca="1" si="7"/>
        <v>0.78063829787234051</v>
      </c>
      <c r="J30" s="7">
        <f ca="1">+Datos!$M$4*$G$14</f>
        <v>0</v>
      </c>
      <c r="K30" s="2">
        <f ca="1">+Datos!$M$5*'Datos Distribucion'!$G$20</f>
        <v>0.16669859999999992</v>
      </c>
      <c r="L30" s="2"/>
      <c r="M30" s="2"/>
      <c r="O30" cm="1">
        <f t="array" aca="1" ref="O30" ca="1">+_xlfn.RANK.AVG(A30,espesor,1)</f>
        <v>30.5</v>
      </c>
      <c r="P30">
        <f t="shared" ca="1" si="3"/>
        <v>0.6</v>
      </c>
      <c r="Q30">
        <f t="shared" ca="1" si="5"/>
        <v>0.25334710313579978</v>
      </c>
      <c r="R30">
        <f t="shared" ca="1" si="4"/>
        <v>0.27381471558319731</v>
      </c>
    </row>
    <row r="31" spans="1:18" x14ac:dyDescent="0.3">
      <c r="A31" s="2">
        <f ca="1"/>
        <v>0.66</v>
      </c>
      <c r="B31" s="2">
        <f t="shared" ca="1" si="0"/>
        <v>1</v>
      </c>
      <c r="C31" s="2"/>
      <c r="D31" s="2"/>
      <c r="F31" s="2">
        <f t="shared" ca="1" si="1"/>
        <v>0.64500000000000013</v>
      </c>
      <c r="G31" s="2">
        <f t="shared" ca="1" si="2"/>
        <v>5.0999999999999976E-2</v>
      </c>
      <c r="H31" s="2">
        <f t="shared" ca="1" si="6"/>
        <v>0.50936170212765974</v>
      </c>
      <c r="I31" s="2">
        <f t="shared" ca="1" si="7"/>
        <v>0.78063829787234051</v>
      </c>
      <c r="J31" s="7">
        <f ca="1">+Datos!$M$4*$G$14</f>
        <v>0</v>
      </c>
      <c r="K31" s="2">
        <f ca="1">+Datos!$M$5*'Datos Distribucion'!$G$20</f>
        <v>0.16669859999999992</v>
      </c>
      <c r="L31" s="2"/>
      <c r="M31" s="2"/>
      <c r="O31" cm="1">
        <f t="array" aca="1" ref="O31" ca="1">+_xlfn.RANK.AVG(A31,espesor,1)</f>
        <v>30.5</v>
      </c>
      <c r="P31">
        <f t="shared" ca="1" si="3"/>
        <v>0.6</v>
      </c>
      <c r="Q31">
        <f t="shared" ca="1" si="5"/>
        <v>0.25334710313579978</v>
      </c>
      <c r="R31">
        <f t="shared" ca="1" si="4"/>
        <v>0.27381471558319731</v>
      </c>
    </row>
    <row r="32" spans="1:18" x14ac:dyDescent="0.3">
      <c r="A32" s="2">
        <f ca="1"/>
        <v>0.66</v>
      </c>
      <c r="B32" s="2">
        <f t="shared" ca="1" si="0"/>
        <v>1</v>
      </c>
      <c r="C32" s="2"/>
      <c r="D32" s="2"/>
      <c r="F32" s="2">
        <f t="shared" ca="1" si="1"/>
        <v>0.64500000000000013</v>
      </c>
      <c r="G32" s="2">
        <f t="shared" ca="1" si="2"/>
        <v>5.0999999999999976E-2</v>
      </c>
      <c r="H32" s="2">
        <f t="shared" ca="1" si="6"/>
        <v>0.50936170212765974</v>
      </c>
      <c r="I32" s="2">
        <f t="shared" ca="1" si="7"/>
        <v>0.78063829787234051</v>
      </c>
      <c r="J32" s="7">
        <f ca="1">+Datos!$M$4*$G$14</f>
        <v>0</v>
      </c>
      <c r="K32" s="2">
        <f ca="1">+Datos!$M$5*'Datos Distribucion'!$G$20</f>
        <v>0.16669859999999992</v>
      </c>
      <c r="L32" s="2"/>
      <c r="M32" s="2"/>
      <c r="O32" cm="1">
        <f t="array" aca="1" ref="O32" ca="1">+_xlfn.RANK.AVG(A32,espesor,1)</f>
        <v>30.5</v>
      </c>
      <c r="P32">
        <f t="shared" ca="1" si="3"/>
        <v>0.6</v>
      </c>
      <c r="Q32">
        <f t="shared" ca="1" si="5"/>
        <v>0.25334710313579978</v>
      </c>
      <c r="R32">
        <f t="shared" ca="1" si="4"/>
        <v>0.27381471558319731</v>
      </c>
    </row>
    <row r="33" spans="1:18" x14ac:dyDescent="0.3">
      <c r="A33" s="2">
        <f ca="1"/>
        <v>0.66</v>
      </c>
      <c r="B33" s="2">
        <f t="shared" ref="B33:B64" ca="1" si="8">+COUNT(A33)</f>
        <v>1</v>
      </c>
      <c r="C33" s="2"/>
      <c r="D33" s="2"/>
      <c r="F33" s="2">
        <f t="shared" ca="1" si="1"/>
        <v>0.64500000000000013</v>
      </c>
      <c r="G33" s="2">
        <f t="shared" ca="1" si="2"/>
        <v>5.0999999999999976E-2</v>
      </c>
      <c r="H33" s="2">
        <f t="shared" ca="1" si="6"/>
        <v>0.50936170212765974</v>
      </c>
      <c r="I33" s="2">
        <f t="shared" ca="1" si="7"/>
        <v>0.78063829787234051</v>
      </c>
      <c r="J33" s="7">
        <f ca="1">+Datos!$M$4*$G$14</f>
        <v>0</v>
      </c>
      <c r="K33" s="2">
        <f ca="1">+Datos!$M$5*'Datos Distribucion'!$G$20</f>
        <v>0.16669859999999992</v>
      </c>
      <c r="L33" s="2"/>
      <c r="M33" s="2"/>
      <c r="O33" cm="1">
        <f t="array" aca="1" ref="O33" ca="1">+_xlfn.RANK.AVG(A33,espesor,1)</f>
        <v>30.5</v>
      </c>
      <c r="P33">
        <f t="shared" ref="P33:P64" ca="1" si="9">+(O33-0.5)/COUNT(espesor)</f>
        <v>0.6</v>
      </c>
      <c r="Q33">
        <f t="shared" ca="1" si="5"/>
        <v>0.25334710313579978</v>
      </c>
      <c r="R33">
        <f t="shared" ref="R33:R64" ca="1" si="10">+IF(ISNUMBER(O33),STANDARDIZE(A33,AVERAGE(espesor),_xlfn.STDEV.S(espesor)),"")</f>
        <v>0.27381471558319731</v>
      </c>
    </row>
    <row r="34" spans="1:18" x14ac:dyDescent="0.3">
      <c r="A34" s="2">
        <f ca="1"/>
        <v>0.67</v>
      </c>
      <c r="B34" s="2">
        <f t="shared" ca="1" si="8"/>
        <v>1</v>
      </c>
      <c r="C34" s="2"/>
      <c r="D34" s="2"/>
      <c r="F34" s="2">
        <f t="shared" ca="1" si="1"/>
        <v>0.64500000000000013</v>
      </c>
      <c r="G34" s="2">
        <f t="shared" ca="1" si="2"/>
        <v>5.0999999999999976E-2</v>
      </c>
      <c r="H34" s="2">
        <f t="shared" ca="1" si="6"/>
        <v>0.50936170212765974</v>
      </c>
      <c r="I34" s="2">
        <f t="shared" ca="1" si="7"/>
        <v>0.78063829787234051</v>
      </c>
      <c r="J34" s="7">
        <f ca="1">+Datos!$M$4*$G$14</f>
        <v>0</v>
      </c>
      <c r="K34" s="2">
        <f ca="1">+Datos!$M$5*'Datos Distribucion'!$G$20</f>
        <v>0.16669859999999992</v>
      </c>
      <c r="L34" s="2"/>
      <c r="M34" s="2"/>
      <c r="O34" cm="1">
        <f t="array" aca="1" ref="O34" ca="1">+_xlfn.RANK.AVG(A34,espesor,1)</f>
        <v>35</v>
      </c>
      <c r="P34">
        <f t="shared" ca="1" si="9"/>
        <v>0.69</v>
      </c>
      <c r="Q34">
        <f t="shared" ca="1" si="5"/>
        <v>0.49585034734745331</v>
      </c>
      <c r="R34">
        <f t="shared" ca="1" si="10"/>
        <v>0.45635785930533018</v>
      </c>
    </row>
    <row r="35" spans="1:18" x14ac:dyDescent="0.3">
      <c r="A35" s="2">
        <f ca="1"/>
        <v>0.67</v>
      </c>
      <c r="B35" s="2">
        <f t="shared" ca="1" si="8"/>
        <v>1</v>
      </c>
      <c r="C35" s="2"/>
      <c r="D35" s="2"/>
      <c r="F35" s="2">
        <f t="shared" ca="1" si="1"/>
        <v>0.64500000000000013</v>
      </c>
      <c r="G35" s="2">
        <f t="shared" ca="1" si="2"/>
        <v>5.0999999999999976E-2</v>
      </c>
      <c r="H35" s="2">
        <f t="shared" ca="1" si="6"/>
        <v>0.50936170212765974</v>
      </c>
      <c r="I35" s="2">
        <f t="shared" ca="1" si="7"/>
        <v>0.78063829787234051</v>
      </c>
      <c r="J35" s="7">
        <f ca="1">+Datos!$M$4*$G$14</f>
        <v>0</v>
      </c>
      <c r="K35" s="2">
        <f ca="1">+Datos!$M$5*'Datos Distribucion'!$G$20</f>
        <v>0.16669859999999992</v>
      </c>
      <c r="L35" s="2"/>
      <c r="M35" s="2"/>
      <c r="O35" cm="1">
        <f t="array" aca="1" ref="O35" ca="1">+_xlfn.RANK.AVG(A35,espesor,1)</f>
        <v>35</v>
      </c>
      <c r="P35">
        <f t="shared" ca="1" si="9"/>
        <v>0.69</v>
      </c>
      <c r="Q35">
        <f t="shared" ca="1" si="5"/>
        <v>0.49585034734745331</v>
      </c>
      <c r="R35">
        <f t="shared" ca="1" si="10"/>
        <v>0.45635785930533018</v>
      </c>
    </row>
    <row r="36" spans="1:18" x14ac:dyDescent="0.3">
      <c r="A36" s="2">
        <f ca="1"/>
        <v>0.67</v>
      </c>
      <c r="B36" s="2">
        <f t="shared" ca="1" si="8"/>
        <v>1</v>
      </c>
      <c r="C36" s="2"/>
      <c r="D36" s="2"/>
      <c r="F36" s="2">
        <f t="shared" ca="1" si="1"/>
        <v>0.64500000000000013</v>
      </c>
      <c r="G36" s="2">
        <f t="shared" ca="1" si="2"/>
        <v>5.0999999999999976E-2</v>
      </c>
      <c r="H36" s="2">
        <f t="shared" ca="1" si="6"/>
        <v>0.50936170212765974</v>
      </c>
      <c r="I36" s="2">
        <f t="shared" ca="1" si="7"/>
        <v>0.78063829787234051</v>
      </c>
      <c r="J36" s="7">
        <f ca="1">+Datos!$M$4*$G$14</f>
        <v>0</v>
      </c>
      <c r="K36" s="2">
        <f ca="1">+Datos!$M$5*'Datos Distribucion'!$G$20</f>
        <v>0.16669859999999992</v>
      </c>
      <c r="L36" s="2"/>
      <c r="M36" s="2"/>
      <c r="O36" cm="1">
        <f t="array" aca="1" ref="O36" ca="1">+_xlfn.RANK.AVG(A36,espesor,1)</f>
        <v>35</v>
      </c>
      <c r="P36">
        <f t="shared" ca="1" si="9"/>
        <v>0.69</v>
      </c>
      <c r="Q36">
        <f t="shared" ca="1" si="5"/>
        <v>0.49585034734745331</v>
      </c>
      <c r="R36">
        <f t="shared" ca="1" si="10"/>
        <v>0.45635785930533018</v>
      </c>
    </row>
    <row r="37" spans="1:18" x14ac:dyDescent="0.3">
      <c r="A37" s="2">
        <f ca="1"/>
        <v>0.68</v>
      </c>
      <c r="B37" s="2">
        <f t="shared" ca="1" si="8"/>
        <v>1</v>
      </c>
      <c r="C37" s="2"/>
      <c r="D37" s="2"/>
      <c r="F37" s="2">
        <f t="shared" ca="1" si="1"/>
        <v>0.64500000000000013</v>
      </c>
      <c r="G37" s="2">
        <f t="shared" ca="1" si="2"/>
        <v>5.0999999999999976E-2</v>
      </c>
      <c r="H37" s="2">
        <f t="shared" ca="1" si="6"/>
        <v>0.50936170212765974</v>
      </c>
      <c r="I37" s="2">
        <f t="shared" ca="1" si="7"/>
        <v>0.78063829787234051</v>
      </c>
      <c r="J37" s="7">
        <f ca="1">+Datos!$M$4*$G$14</f>
        <v>0</v>
      </c>
      <c r="K37" s="2">
        <f ca="1">+Datos!$M$5*'Datos Distribucion'!$G$20</f>
        <v>0.16669859999999992</v>
      </c>
      <c r="L37" s="2"/>
      <c r="M37" s="2"/>
      <c r="O37" cm="1">
        <f t="array" aca="1" ref="O37" ca="1">+_xlfn.RANK.AVG(A37,espesor,1)</f>
        <v>38</v>
      </c>
      <c r="P37">
        <f t="shared" ca="1" si="9"/>
        <v>0.75</v>
      </c>
      <c r="Q37">
        <f t="shared" ca="1" si="5"/>
        <v>0.67448975019608193</v>
      </c>
      <c r="R37">
        <f t="shared" ca="1" si="10"/>
        <v>0.63890100302746311</v>
      </c>
    </row>
    <row r="38" spans="1:18" x14ac:dyDescent="0.3">
      <c r="A38" s="2">
        <f ca="1"/>
        <v>0.68</v>
      </c>
      <c r="B38" s="2">
        <f t="shared" ca="1" si="8"/>
        <v>1</v>
      </c>
      <c r="C38" s="2"/>
      <c r="D38" s="2"/>
      <c r="F38" s="2">
        <f t="shared" ca="1" si="1"/>
        <v>0.64500000000000013</v>
      </c>
      <c r="G38" s="2">
        <f t="shared" ca="1" si="2"/>
        <v>5.0999999999999976E-2</v>
      </c>
      <c r="H38" s="2">
        <f t="shared" ca="1" si="6"/>
        <v>0.50936170212765974</v>
      </c>
      <c r="I38" s="2">
        <f t="shared" ca="1" si="7"/>
        <v>0.78063829787234051</v>
      </c>
      <c r="J38" s="7">
        <f ca="1">+Datos!$M$4*$G$14</f>
        <v>0</v>
      </c>
      <c r="K38" s="2">
        <f ca="1">+Datos!$M$5*'Datos Distribucion'!$G$20</f>
        <v>0.16669859999999992</v>
      </c>
      <c r="L38" s="2"/>
      <c r="M38" s="2"/>
      <c r="O38" cm="1">
        <f t="array" aca="1" ref="O38" ca="1">+_xlfn.RANK.AVG(A38,espesor,1)</f>
        <v>38</v>
      </c>
      <c r="P38">
        <f t="shared" ca="1" si="9"/>
        <v>0.75</v>
      </c>
      <c r="Q38">
        <f t="shared" ca="1" si="5"/>
        <v>0.67448975019608193</v>
      </c>
      <c r="R38">
        <f t="shared" ca="1" si="10"/>
        <v>0.63890100302746311</v>
      </c>
    </row>
    <row r="39" spans="1:18" x14ac:dyDescent="0.3">
      <c r="A39" s="2">
        <f ca="1"/>
        <v>0.68</v>
      </c>
      <c r="B39" s="2">
        <f t="shared" ca="1" si="8"/>
        <v>1</v>
      </c>
      <c r="C39" s="2"/>
      <c r="D39" s="2"/>
      <c r="F39" s="2">
        <f t="shared" ca="1" si="1"/>
        <v>0.64500000000000013</v>
      </c>
      <c r="G39" s="2">
        <f t="shared" ca="1" si="2"/>
        <v>5.0999999999999976E-2</v>
      </c>
      <c r="H39" s="2">
        <f t="shared" ca="1" si="6"/>
        <v>0.50936170212765974</v>
      </c>
      <c r="I39" s="2">
        <f t="shared" ca="1" si="7"/>
        <v>0.78063829787234051</v>
      </c>
      <c r="J39" s="7">
        <f ca="1">+Datos!$M$4*$G$14</f>
        <v>0</v>
      </c>
      <c r="K39" s="2">
        <f ca="1">+Datos!$M$5*'Datos Distribucion'!$G$20</f>
        <v>0.16669859999999992</v>
      </c>
      <c r="L39" s="2"/>
      <c r="M39" s="2"/>
      <c r="O39" cm="1">
        <f t="array" aca="1" ref="O39" ca="1">+_xlfn.RANK.AVG(A39,espesor,1)</f>
        <v>38</v>
      </c>
      <c r="P39">
        <f t="shared" ca="1" si="9"/>
        <v>0.75</v>
      </c>
      <c r="Q39">
        <f t="shared" ca="1" si="5"/>
        <v>0.67448975019608193</v>
      </c>
      <c r="R39">
        <f t="shared" ca="1" si="10"/>
        <v>0.63890100302746311</v>
      </c>
    </row>
    <row r="40" spans="1:18" x14ac:dyDescent="0.3">
      <c r="A40" s="2">
        <f ca="1"/>
        <v>0.69</v>
      </c>
      <c r="B40" s="2">
        <f t="shared" ca="1" si="8"/>
        <v>1</v>
      </c>
      <c r="C40" s="2"/>
      <c r="D40" s="2"/>
      <c r="F40" s="2">
        <f t="shared" ca="1" si="1"/>
        <v>0.64500000000000013</v>
      </c>
      <c r="G40" s="2">
        <f t="shared" ca="1" si="2"/>
        <v>5.0999999999999976E-2</v>
      </c>
      <c r="H40" s="2">
        <f t="shared" ca="1" si="6"/>
        <v>0.50936170212765974</v>
      </c>
      <c r="I40" s="2">
        <f t="shared" ca="1" si="7"/>
        <v>0.78063829787234051</v>
      </c>
      <c r="J40" s="7">
        <f ca="1">+Datos!$M$4*$G$14</f>
        <v>0</v>
      </c>
      <c r="K40" s="2">
        <f ca="1">+Datos!$M$5*'Datos Distribucion'!$G$20</f>
        <v>0.16669859999999992</v>
      </c>
      <c r="L40" s="2"/>
      <c r="M40" s="2"/>
      <c r="O40" cm="1">
        <f t="array" aca="1" ref="O40" ca="1">+_xlfn.RANK.AVG(A40,espesor,1)</f>
        <v>41</v>
      </c>
      <c r="P40">
        <f t="shared" ca="1" si="9"/>
        <v>0.81</v>
      </c>
      <c r="Q40">
        <f t="shared" ca="1" si="5"/>
        <v>0.87789629505122857</v>
      </c>
      <c r="R40">
        <f t="shared" ca="1" si="10"/>
        <v>0.82144414674959387</v>
      </c>
    </row>
    <row r="41" spans="1:18" x14ac:dyDescent="0.3">
      <c r="A41" s="2">
        <f ca="1"/>
        <v>0.69</v>
      </c>
      <c r="B41" s="2">
        <f t="shared" ca="1" si="8"/>
        <v>1</v>
      </c>
      <c r="C41" s="2"/>
      <c r="D41" s="2"/>
      <c r="F41" s="2">
        <f t="shared" ca="1" si="1"/>
        <v>0.64500000000000013</v>
      </c>
      <c r="G41" s="2">
        <f t="shared" ca="1" si="2"/>
        <v>5.0999999999999976E-2</v>
      </c>
      <c r="H41" s="2">
        <f t="shared" ca="1" si="6"/>
        <v>0.50936170212765974</v>
      </c>
      <c r="I41" s="2">
        <f t="shared" ca="1" si="7"/>
        <v>0.78063829787234051</v>
      </c>
      <c r="J41" s="7">
        <f ca="1">+Datos!$M$4*$G$14</f>
        <v>0</v>
      </c>
      <c r="K41" s="2">
        <f ca="1">+Datos!$M$5*'Datos Distribucion'!$G$20</f>
        <v>0.16669859999999992</v>
      </c>
      <c r="L41" s="2"/>
      <c r="M41" s="2"/>
      <c r="O41" cm="1">
        <f t="array" aca="1" ref="O41" ca="1">+_xlfn.RANK.AVG(A41,espesor,1)</f>
        <v>41</v>
      </c>
      <c r="P41">
        <f t="shared" ca="1" si="9"/>
        <v>0.81</v>
      </c>
      <c r="Q41">
        <f t="shared" ca="1" si="5"/>
        <v>0.87789629505122857</v>
      </c>
      <c r="R41">
        <f t="shared" ca="1" si="10"/>
        <v>0.82144414674959387</v>
      </c>
    </row>
    <row r="42" spans="1:18" x14ac:dyDescent="0.3">
      <c r="A42" s="2">
        <f ca="1"/>
        <v>0.69</v>
      </c>
      <c r="B42" s="2">
        <f t="shared" ca="1" si="8"/>
        <v>1</v>
      </c>
      <c r="C42" s="2"/>
      <c r="D42" s="2"/>
      <c r="F42" s="2">
        <f t="shared" ca="1" si="1"/>
        <v>0.64500000000000013</v>
      </c>
      <c r="G42" s="2">
        <f t="shared" ca="1" si="2"/>
        <v>5.0999999999999976E-2</v>
      </c>
      <c r="H42" s="2">
        <f t="shared" ca="1" si="6"/>
        <v>0.50936170212765974</v>
      </c>
      <c r="I42" s="2">
        <f t="shared" ca="1" si="7"/>
        <v>0.78063829787234051</v>
      </c>
      <c r="J42" s="7">
        <f ca="1">+Datos!$M$4*$G$14</f>
        <v>0</v>
      </c>
      <c r="K42" s="2">
        <f ca="1">+Datos!$M$5*'Datos Distribucion'!$G$20</f>
        <v>0.16669859999999992</v>
      </c>
      <c r="L42" s="2"/>
      <c r="M42" s="2"/>
      <c r="O42" cm="1">
        <f t="array" aca="1" ref="O42" ca="1">+_xlfn.RANK.AVG(A42,espesor,1)</f>
        <v>41</v>
      </c>
      <c r="P42">
        <f t="shared" ca="1" si="9"/>
        <v>0.81</v>
      </c>
      <c r="Q42">
        <f t="shared" ca="1" si="5"/>
        <v>0.87789629505122857</v>
      </c>
      <c r="R42">
        <f t="shared" ca="1" si="10"/>
        <v>0.82144414674959387</v>
      </c>
    </row>
    <row r="43" spans="1:18" x14ac:dyDescent="0.3">
      <c r="A43" s="2">
        <f ca="1"/>
        <v>0.7</v>
      </c>
      <c r="B43" s="2">
        <f t="shared" ca="1" si="8"/>
        <v>1</v>
      </c>
      <c r="C43" s="2"/>
      <c r="D43" s="2"/>
      <c r="F43" s="2">
        <f t="shared" ca="1" si="1"/>
        <v>0.64500000000000013</v>
      </c>
      <c r="G43" s="2">
        <f t="shared" ca="1" si="2"/>
        <v>5.0999999999999976E-2</v>
      </c>
      <c r="H43" s="2">
        <f t="shared" ca="1" si="6"/>
        <v>0.50936170212765974</v>
      </c>
      <c r="I43" s="2">
        <f t="shared" ca="1" si="7"/>
        <v>0.78063829787234051</v>
      </c>
      <c r="J43" s="7">
        <f ca="1">+Datos!$M$4*$G$14</f>
        <v>0</v>
      </c>
      <c r="K43" s="2">
        <f ca="1">+Datos!$M$5*'Datos Distribucion'!$G$20</f>
        <v>0.16669859999999992</v>
      </c>
      <c r="L43" s="2"/>
      <c r="M43" s="2"/>
      <c r="O43" cm="1">
        <f t="array" aca="1" ref="O43" ca="1">+_xlfn.RANK.AVG(A43,espesor,1)</f>
        <v>44.5</v>
      </c>
      <c r="P43">
        <f t="shared" ca="1" si="9"/>
        <v>0.88</v>
      </c>
      <c r="Q43">
        <f t="shared" ca="1" si="5"/>
        <v>1.1749867920660904</v>
      </c>
      <c r="R43">
        <f t="shared" ca="1" si="10"/>
        <v>1.0039872904717269</v>
      </c>
    </row>
    <row r="44" spans="1:18" x14ac:dyDescent="0.3">
      <c r="A44" s="2">
        <f ca="1"/>
        <v>0.7</v>
      </c>
      <c r="B44" s="2">
        <f t="shared" ca="1" si="8"/>
        <v>1</v>
      </c>
      <c r="C44" s="2"/>
      <c r="D44" s="2"/>
      <c r="F44" s="2">
        <f t="shared" ca="1" si="1"/>
        <v>0.64500000000000013</v>
      </c>
      <c r="G44" s="2">
        <f t="shared" ca="1" si="2"/>
        <v>5.0999999999999976E-2</v>
      </c>
      <c r="H44" s="2">
        <f t="shared" ca="1" si="6"/>
        <v>0.50936170212765974</v>
      </c>
      <c r="I44" s="2">
        <f t="shared" ca="1" si="7"/>
        <v>0.78063829787234051</v>
      </c>
      <c r="J44" s="7">
        <f ca="1">+Datos!$M$4*$G$14</f>
        <v>0</v>
      </c>
      <c r="K44" s="2">
        <f ca="1">+Datos!$M$5*'Datos Distribucion'!$G$20</f>
        <v>0.16669859999999992</v>
      </c>
      <c r="L44" s="2"/>
      <c r="M44" s="2"/>
      <c r="O44" cm="1">
        <f t="array" aca="1" ref="O44" ca="1">+_xlfn.RANK.AVG(A44,espesor,1)</f>
        <v>44.5</v>
      </c>
      <c r="P44">
        <f t="shared" ca="1" si="9"/>
        <v>0.88</v>
      </c>
      <c r="Q44">
        <f t="shared" ca="1" si="5"/>
        <v>1.1749867920660904</v>
      </c>
      <c r="R44">
        <f t="shared" ca="1" si="10"/>
        <v>1.0039872904717269</v>
      </c>
    </row>
    <row r="45" spans="1:18" x14ac:dyDescent="0.3">
      <c r="A45" s="2">
        <f ca="1"/>
        <v>0.7</v>
      </c>
      <c r="B45" s="2">
        <f t="shared" ca="1" si="8"/>
        <v>1</v>
      </c>
      <c r="C45" s="2"/>
      <c r="D45" s="2"/>
      <c r="F45" s="2">
        <f t="shared" ca="1" si="1"/>
        <v>0.64500000000000013</v>
      </c>
      <c r="G45" s="2">
        <f t="shared" ca="1" si="2"/>
        <v>5.0999999999999976E-2</v>
      </c>
      <c r="H45" s="2">
        <f t="shared" ca="1" si="6"/>
        <v>0.50936170212765974</v>
      </c>
      <c r="I45" s="2">
        <f t="shared" ca="1" si="7"/>
        <v>0.78063829787234051</v>
      </c>
      <c r="J45" s="7">
        <f ca="1">+Datos!$M$4*$G$14</f>
        <v>0</v>
      </c>
      <c r="K45" s="2">
        <f ca="1">+Datos!$M$5*'Datos Distribucion'!$G$20</f>
        <v>0.16669859999999992</v>
      </c>
      <c r="L45" s="2"/>
      <c r="M45" s="2"/>
      <c r="O45" cm="1">
        <f t="array" aca="1" ref="O45" ca="1">+_xlfn.RANK.AVG(A45,espesor,1)</f>
        <v>44.5</v>
      </c>
      <c r="P45">
        <f t="shared" ca="1" si="9"/>
        <v>0.88</v>
      </c>
      <c r="Q45">
        <f t="shared" ca="1" si="5"/>
        <v>1.1749867920660904</v>
      </c>
      <c r="R45">
        <f t="shared" ca="1" si="10"/>
        <v>1.0039872904717269</v>
      </c>
    </row>
    <row r="46" spans="1:18" x14ac:dyDescent="0.3">
      <c r="A46" s="2">
        <f ca="1"/>
        <v>0.7</v>
      </c>
      <c r="B46" s="2">
        <f t="shared" ca="1" si="8"/>
        <v>1</v>
      </c>
      <c r="C46" s="2"/>
      <c r="D46" s="2"/>
      <c r="F46" s="2">
        <f t="shared" ca="1" si="1"/>
        <v>0.64500000000000013</v>
      </c>
      <c r="G46" s="2">
        <f t="shared" ca="1" si="2"/>
        <v>5.0999999999999976E-2</v>
      </c>
      <c r="H46" s="2">
        <f t="shared" ca="1" si="6"/>
        <v>0.50936170212765974</v>
      </c>
      <c r="I46" s="2">
        <f t="shared" ca="1" si="7"/>
        <v>0.78063829787234051</v>
      </c>
      <c r="J46" s="7">
        <f ca="1">+Datos!$M$4*$G$14</f>
        <v>0</v>
      </c>
      <c r="K46" s="2">
        <f ca="1">+Datos!$M$5*'Datos Distribucion'!$G$20</f>
        <v>0.16669859999999992</v>
      </c>
      <c r="L46" s="2"/>
      <c r="M46" s="2"/>
      <c r="O46" cm="1">
        <f t="array" aca="1" ref="O46" ca="1">+_xlfn.RANK.AVG(A46,espesor,1)</f>
        <v>44.5</v>
      </c>
      <c r="P46">
        <f t="shared" ca="1" si="9"/>
        <v>0.88</v>
      </c>
      <c r="Q46">
        <f t="shared" ca="1" si="5"/>
        <v>1.1749867920660904</v>
      </c>
      <c r="R46">
        <f t="shared" ca="1" si="10"/>
        <v>1.0039872904717269</v>
      </c>
    </row>
    <row r="47" spans="1:18" x14ac:dyDescent="0.3">
      <c r="A47" s="2">
        <f ca="1"/>
        <v>0.71</v>
      </c>
      <c r="B47" s="2">
        <f t="shared" ca="1" si="8"/>
        <v>1</v>
      </c>
      <c r="C47" s="2"/>
      <c r="D47" s="2"/>
      <c r="F47" s="2">
        <f t="shared" ca="1" si="1"/>
        <v>0.64500000000000013</v>
      </c>
      <c r="G47" s="2">
        <f t="shared" ca="1" si="2"/>
        <v>5.0999999999999976E-2</v>
      </c>
      <c r="H47" s="2">
        <f t="shared" ca="1" si="6"/>
        <v>0.50936170212765974</v>
      </c>
      <c r="I47" s="2">
        <f t="shared" ca="1" si="7"/>
        <v>0.78063829787234051</v>
      </c>
      <c r="J47" s="7">
        <f ca="1">+Datos!$M$4*$G$14</f>
        <v>0</v>
      </c>
      <c r="K47" s="2">
        <f ca="1">+Datos!$M$5*'Datos Distribucion'!$G$20</f>
        <v>0.16669859999999992</v>
      </c>
      <c r="L47" s="2"/>
      <c r="M47" s="2"/>
      <c r="O47" cm="1">
        <f t="array" aca="1" ref="O47" ca="1">+_xlfn.RANK.AVG(A47,espesor,1)</f>
        <v>47.5</v>
      </c>
      <c r="P47">
        <f t="shared" ca="1" si="9"/>
        <v>0.94</v>
      </c>
      <c r="Q47">
        <f t="shared" ca="1" si="5"/>
        <v>1.5547735945968528</v>
      </c>
      <c r="R47">
        <f t="shared" ca="1" si="10"/>
        <v>1.1865304341938596</v>
      </c>
    </row>
    <row r="48" spans="1:18" x14ac:dyDescent="0.3">
      <c r="A48" s="2">
        <f ca="1"/>
        <v>0.71</v>
      </c>
      <c r="B48" s="2">
        <f t="shared" ca="1" si="8"/>
        <v>1</v>
      </c>
      <c r="C48" s="2"/>
      <c r="D48" s="2"/>
      <c r="F48" s="2">
        <f t="shared" ca="1" si="1"/>
        <v>0.64500000000000013</v>
      </c>
      <c r="G48" s="2">
        <f t="shared" ca="1" si="2"/>
        <v>5.0999999999999976E-2</v>
      </c>
      <c r="H48" s="2">
        <f t="shared" ca="1" si="6"/>
        <v>0.50936170212765974</v>
      </c>
      <c r="I48" s="2">
        <f t="shared" ca="1" si="7"/>
        <v>0.78063829787234051</v>
      </c>
      <c r="J48" s="7">
        <f ca="1">+Datos!$M$4*$G$14</f>
        <v>0</v>
      </c>
      <c r="K48" s="2">
        <f ca="1">+Datos!$M$5*'Datos Distribucion'!$G$20</f>
        <v>0.16669859999999992</v>
      </c>
      <c r="L48" s="2"/>
      <c r="M48" s="2"/>
      <c r="O48" cm="1">
        <f t="array" aca="1" ref="O48" ca="1">+_xlfn.RANK.AVG(A48,espesor,1)</f>
        <v>47.5</v>
      </c>
      <c r="P48">
        <f t="shared" ca="1" si="9"/>
        <v>0.94</v>
      </c>
      <c r="Q48">
        <f t="shared" ca="1" si="5"/>
        <v>1.5547735945968528</v>
      </c>
      <c r="R48">
        <f t="shared" ca="1" si="10"/>
        <v>1.1865304341938596</v>
      </c>
    </row>
    <row r="49" spans="1:18" x14ac:dyDescent="0.3">
      <c r="A49" s="2">
        <f ca="1"/>
        <v>0.73</v>
      </c>
      <c r="B49" s="2">
        <f t="shared" ca="1" si="8"/>
        <v>1</v>
      </c>
      <c r="C49" s="2"/>
      <c r="D49" s="2"/>
      <c r="F49" s="2">
        <f t="shared" ca="1" si="1"/>
        <v>0.64500000000000013</v>
      </c>
      <c r="G49" s="2">
        <f t="shared" ca="1" si="2"/>
        <v>5.0999999999999976E-2</v>
      </c>
      <c r="H49" s="2">
        <f t="shared" ca="1" si="6"/>
        <v>0.50936170212765974</v>
      </c>
      <c r="I49" s="2">
        <f t="shared" ca="1" si="7"/>
        <v>0.78063829787234051</v>
      </c>
      <c r="J49" s="7">
        <f ca="1">+Datos!$M$4*$G$14</f>
        <v>0</v>
      </c>
      <c r="K49" s="2">
        <f ca="1">+Datos!$M$5*'Datos Distribucion'!$G$20</f>
        <v>0.16669859999999992</v>
      </c>
      <c r="L49" s="2"/>
      <c r="M49" s="2"/>
      <c r="O49" cm="1">
        <f t="array" aca="1" ref="O49" ca="1">+_xlfn.RANK.AVG(A49,espesor,1)</f>
        <v>49</v>
      </c>
      <c r="P49">
        <f t="shared" ca="1" si="9"/>
        <v>0.97</v>
      </c>
      <c r="Q49">
        <f t="shared" ca="1" si="5"/>
        <v>1.8807936081512504</v>
      </c>
      <c r="R49">
        <f t="shared" ca="1" si="10"/>
        <v>1.5516167216381254</v>
      </c>
    </row>
    <row r="50" spans="1:18" x14ac:dyDescent="0.3">
      <c r="A50" s="2">
        <f ca="1"/>
        <v>0.78</v>
      </c>
      <c r="B50" s="2">
        <f t="shared" ca="1" si="8"/>
        <v>1</v>
      </c>
      <c r="C50" s="2"/>
      <c r="D50" s="2"/>
      <c r="F50" s="2">
        <f t="shared" ca="1" si="1"/>
        <v>0.64500000000000013</v>
      </c>
      <c r="G50" s="2">
        <f t="shared" ca="1" si="2"/>
        <v>5.0999999999999976E-2</v>
      </c>
      <c r="H50" s="2">
        <f t="shared" ca="1" si="6"/>
        <v>0.50936170212765974</v>
      </c>
      <c r="I50" s="2">
        <f t="shared" ca="1" si="7"/>
        <v>0.78063829787234051</v>
      </c>
      <c r="J50" s="7">
        <f ca="1">+Datos!$M$4*$G$14</f>
        <v>0</v>
      </c>
      <c r="K50" s="2">
        <f ca="1">+Datos!$M$5*'Datos Distribucion'!$G$20</f>
        <v>0.16669859999999992</v>
      </c>
      <c r="L50" s="2"/>
      <c r="M50" s="2"/>
      <c r="O50" cm="1">
        <f t="array" aca="1" ref="O50" ca="1">+_xlfn.RANK.AVG(A50,espesor,1)</f>
        <v>50</v>
      </c>
      <c r="P50">
        <f t="shared" ca="1" si="9"/>
        <v>0.99</v>
      </c>
      <c r="Q50">
        <f t="shared" ca="1" si="5"/>
        <v>2.3263478740408408</v>
      </c>
      <c r="R50">
        <f t="shared" ca="1" si="10"/>
        <v>2.4643324402487901</v>
      </c>
    </row>
    <row r="51" spans="1:18" x14ac:dyDescent="0.3">
      <c r="A51" s="2"/>
      <c r="B51" s="2">
        <f t="shared" si="8"/>
        <v>0</v>
      </c>
      <c r="C51" s="2"/>
      <c r="D51" s="2"/>
      <c r="F51" s="2">
        <f t="shared" ca="1" si="1"/>
        <v>0.64500000000000013</v>
      </c>
      <c r="G51" s="2">
        <f t="shared" ca="1" si="2"/>
        <v>5.0999999999999976E-2</v>
      </c>
      <c r="H51" s="2">
        <f t="shared" ca="1" si="6"/>
        <v>0.50936170212765974</v>
      </c>
      <c r="I51" s="2">
        <f t="shared" ca="1" si="7"/>
        <v>0.78063829787234051</v>
      </c>
      <c r="J51" s="7">
        <f ca="1">+Datos!$M$4*$G$14</f>
        <v>0</v>
      </c>
      <c r="K51" s="2">
        <f ca="1">+Datos!$M$5*'Datos Distribucion'!$G$20</f>
        <v>0.16669859999999992</v>
      </c>
      <c r="L51" s="2"/>
      <c r="M51" s="2"/>
      <c r="O51" t="e" cm="1">
        <f t="array" aca="1" ref="O51" ca="1">+_xlfn.RANK.AVG(A51,espesor,1)</f>
        <v>#N/A</v>
      </c>
      <c r="P51" t="e">
        <f t="shared" ca="1" si="9"/>
        <v>#N/A</v>
      </c>
      <c r="Q51" t="e">
        <f t="shared" ca="1" si="5"/>
        <v>#N/A</v>
      </c>
      <c r="R51" t="str">
        <f t="shared" ca="1" si="10"/>
        <v/>
      </c>
    </row>
    <row r="52" spans="1:18" x14ac:dyDescent="0.3">
      <c r="A52" s="2"/>
      <c r="B52" s="2">
        <f t="shared" si="8"/>
        <v>0</v>
      </c>
      <c r="C52" s="2"/>
      <c r="D52" s="2"/>
      <c r="F52" s="2">
        <f t="shared" ca="1" si="1"/>
        <v>0.64500000000000013</v>
      </c>
      <c r="G52" s="2">
        <f t="shared" ca="1" si="2"/>
        <v>5.0999999999999976E-2</v>
      </c>
      <c r="H52" s="2">
        <f t="shared" ca="1" si="6"/>
        <v>0.50936170212765974</v>
      </c>
      <c r="I52" s="2">
        <f t="shared" ca="1" si="7"/>
        <v>0.78063829787234051</v>
      </c>
      <c r="J52" s="7">
        <f ca="1">+Datos!$M$4*$G$14</f>
        <v>0</v>
      </c>
      <c r="K52" s="2">
        <f ca="1">+Datos!$M$5*'Datos Distribucion'!$G$20</f>
        <v>0.16669859999999992</v>
      </c>
      <c r="L52" s="2"/>
      <c r="M52" s="2"/>
      <c r="O52" t="e" cm="1">
        <f t="array" aca="1" ref="O52" ca="1">+_xlfn.RANK.AVG(A52,espesor,1)</f>
        <v>#N/A</v>
      </c>
      <c r="P52" t="e">
        <f t="shared" ca="1" si="9"/>
        <v>#N/A</v>
      </c>
      <c r="Q52" t="e">
        <f t="shared" ca="1" si="5"/>
        <v>#N/A</v>
      </c>
      <c r="R52" t="str">
        <f t="shared" ca="1" si="10"/>
        <v/>
      </c>
    </row>
    <row r="53" spans="1:18" x14ac:dyDescent="0.3">
      <c r="A53" s="2"/>
      <c r="B53" s="2">
        <f t="shared" si="8"/>
        <v>0</v>
      </c>
      <c r="C53" s="2"/>
      <c r="D53" s="2"/>
      <c r="F53" s="2">
        <f t="shared" ca="1" si="1"/>
        <v>0.64500000000000013</v>
      </c>
      <c r="G53" s="2">
        <f t="shared" ca="1" si="2"/>
        <v>5.0999999999999976E-2</v>
      </c>
      <c r="H53" s="2">
        <f t="shared" ca="1" si="6"/>
        <v>0.50936170212765974</v>
      </c>
      <c r="I53" s="2">
        <f t="shared" ca="1" si="7"/>
        <v>0.78063829787234051</v>
      </c>
      <c r="J53" s="7">
        <f ca="1">+Datos!$M$4*$G$14</f>
        <v>0</v>
      </c>
      <c r="K53" s="2">
        <f ca="1">+Datos!$M$5*'Datos Distribucion'!$G$20</f>
        <v>0.16669859999999992</v>
      </c>
      <c r="L53" s="2"/>
      <c r="M53" s="2"/>
      <c r="O53" t="e" cm="1">
        <f t="array" aca="1" ref="O53" ca="1">+_xlfn.RANK.AVG(A53,espesor,1)</f>
        <v>#N/A</v>
      </c>
      <c r="P53" t="e">
        <f t="shared" ca="1" si="9"/>
        <v>#N/A</v>
      </c>
      <c r="Q53" t="e">
        <f t="shared" ca="1" si="5"/>
        <v>#N/A</v>
      </c>
      <c r="R53" t="str">
        <f t="shared" ca="1" si="10"/>
        <v/>
      </c>
    </row>
    <row r="54" spans="1:18" x14ac:dyDescent="0.3">
      <c r="A54" s="2"/>
      <c r="B54" s="2">
        <f t="shared" si="8"/>
        <v>0</v>
      </c>
      <c r="C54" s="2"/>
      <c r="D54" s="2"/>
      <c r="F54" s="2">
        <f t="shared" ca="1" si="1"/>
        <v>0.64500000000000013</v>
      </c>
      <c r="G54" s="2">
        <f t="shared" ca="1" si="2"/>
        <v>5.0999999999999976E-2</v>
      </c>
      <c r="H54" s="2">
        <f t="shared" ca="1" si="6"/>
        <v>0.50936170212765974</v>
      </c>
      <c r="I54" s="2">
        <f t="shared" ca="1" si="7"/>
        <v>0.78063829787234051</v>
      </c>
      <c r="J54" s="7">
        <f ca="1">+Datos!$M$4*$G$14</f>
        <v>0</v>
      </c>
      <c r="K54" s="2">
        <f ca="1">+Datos!$M$5*'Datos Distribucion'!$G$20</f>
        <v>0.16669859999999992</v>
      </c>
      <c r="L54" s="2"/>
      <c r="M54" s="2"/>
      <c r="O54" t="e" cm="1">
        <f t="array" aca="1" ref="O54" ca="1">+_xlfn.RANK.AVG(A54,espesor,1)</f>
        <v>#N/A</v>
      </c>
      <c r="P54" t="e">
        <f t="shared" ca="1" si="9"/>
        <v>#N/A</v>
      </c>
      <c r="Q54" t="e">
        <f t="shared" ca="1" si="5"/>
        <v>#N/A</v>
      </c>
      <c r="R54" t="str">
        <f t="shared" ca="1" si="10"/>
        <v/>
      </c>
    </row>
    <row r="55" spans="1:18" x14ac:dyDescent="0.3">
      <c r="A55" s="2"/>
      <c r="B55" s="2">
        <f t="shared" si="8"/>
        <v>0</v>
      </c>
      <c r="C55" s="2"/>
      <c r="D55" s="2"/>
      <c r="F55" s="2">
        <f t="shared" ca="1" si="1"/>
        <v>0.64500000000000013</v>
      </c>
      <c r="G55" s="2">
        <f t="shared" ca="1" si="2"/>
        <v>5.0999999999999976E-2</v>
      </c>
      <c r="H55" s="2">
        <f t="shared" ca="1" si="6"/>
        <v>0.50936170212765974</v>
      </c>
      <c r="I55" s="2">
        <f t="shared" ca="1" si="7"/>
        <v>0.78063829787234051</v>
      </c>
      <c r="J55" s="7">
        <f ca="1">+Datos!$M$4*$G$14</f>
        <v>0</v>
      </c>
      <c r="K55" s="2">
        <f ca="1">+Datos!$M$5*'Datos Distribucion'!$G$20</f>
        <v>0.16669859999999992</v>
      </c>
      <c r="L55" s="2"/>
      <c r="M55" s="2"/>
      <c r="O55" t="e" cm="1">
        <f t="array" aca="1" ref="O55" ca="1">+_xlfn.RANK.AVG(A55,espesor,1)</f>
        <v>#N/A</v>
      </c>
      <c r="P55" t="e">
        <f t="shared" ca="1" si="9"/>
        <v>#N/A</v>
      </c>
      <c r="Q55" t="e">
        <f t="shared" ca="1" si="5"/>
        <v>#N/A</v>
      </c>
      <c r="R55" t="str">
        <f t="shared" ca="1" si="10"/>
        <v/>
      </c>
    </row>
    <row r="56" spans="1:18" x14ac:dyDescent="0.3">
      <c r="A56" s="2"/>
      <c r="B56" s="2">
        <f t="shared" si="8"/>
        <v>0</v>
      </c>
      <c r="C56" s="2"/>
      <c r="D56" s="2"/>
      <c r="F56" s="2">
        <f t="shared" ca="1" si="1"/>
        <v>0.64500000000000013</v>
      </c>
      <c r="G56" s="2">
        <f t="shared" ca="1" si="2"/>
        <v>5.0999999999999976E-2</v>
      </c>
      <c r="H56" s="2">
        <f t="shared" ca="1" si="6"/>
        <v>0.50936170212765974</v>
      </c>
      <c r="I56" s="2">
        <f t="shared" ca="1" si="7"/>
        <v>0.78063829787234051</v>
      </c>
      <c r="J56" s="7">
        <f ca="1">+Datos!$M$4*$G$14</f>
        <v>0</v>
      </c>
      <c r="K56" s="2">
        <f ca="1">+Datos!$M$5*'Datos Distribucion'!$G$20</f>
        <v>0.16669859999999992</v>
      </c>
      <c r="L56" s="2"/>
      <c r="M56" s="2"/>
      <c r="O56" t="e" cm="1">
        <f t="array" aca="1" ref="O56" ca="1">+_xlfn.RANK.AVG(A56,espesor,1)</f>
        <v>#N/A</v>
      </c>
      <c r="P56" t="e">
        <f t="shared" ca="1" si="9"/>
        <v>#N/A</v>
      </c>
      <c r="Q56" t="e">
        <f t="shared" ca="1" si="5"/>
        <v>#N/A</v>
      </c>
      <c r="R56" t="str">
        <f t="shared" ca="1" si="10"/>
        <v/>
      </c>
    </row>
    <row r="57" spans="1:18" x14ac:dyDescent="0.3">
      <c r="A57" s="2"/>
      <c r="B57" s="2">
        <f t="shared" si="8"/>
        <v>0</v>
      </c>
      <c r="C57" s="2"/>
      <c r="D57" s="2"/>
      <c r="F57" s="2">
        <f t="shared" ca="1" si="1"/>
        <v>0.64500000000000013</v>
      </c>
      <c r="G57" s="2">
        <f t="shared" ca="1" si="2"/>
        <v>5.0999999999999976E-2</v>
      </c>
      <c r="H57" s="2">
        <f t="shared" ca="1" si="6"/>
        <v>0.50936170212765974</v>
      </c>
      <c r="I57" s="2">
        <f t="shared" ca="1" si="7"/>
        <v>0.78063829787234051</v>
      </c>
      <c r="J57" s="7">
        <f ca="1">+Datos!$M$4*$G$14</f>
        <v>0</v>
      </c>
      <c r="K57" s="2">
        <f ca="1">+Datos!$M$5*'Datos Distribucion'!$G$20</f>
        <v>0.16669859999999992</v>
      </c>
      <c r="L57" s="2"/>
      <c r="M57" s="2"/>
      <c r="O57" t="e" cm="1">
        <f t="array" aca="1" ref="O57" ca="1">+_xlfn.RANK.AVG(A57,espesor,1)</f>
        <v>#N/A</v>
      </c>
      <c r="P57" t="e">
        <f t="shared" ca="1" si="9"/>
        <v>#N/A</v>
      </c>
      <c r="Q57" t="e">
        <f t="shared" ca="1" si="5"/>
        <v>#N/A</v>
      </c>
      <c r="R57" t="str">
        <f t="shared" ca="1" si="10"/>
        <v/>
      </c>
    </row>
    <row r="58" spans="1:18" x14ac:dyDescent="0.3">
      <c r="A58" s="2"/>
      <c r="B58" s="2">
        <f t="shared" si="8"/>
        <v>0</v>
      </c>
      <c r="C58" s="2"/>
      <c r="D58" s="2"/>
      <c r="F58" s="2">
        <f t="shared" ca="1" si="1"/>
        <v>0.64500000000000013</v>
      </c>
      <c r="G58" s="2">
        <f t="shared" ca="1" si="2"/>
        <v>5.0999999999999976E-2</v>
      </c>
      <c r="H58" s="2">
        <f t="shared" ca="1" si="6"/>
        <v>0.50936170212765974</v>
      </c>
      <c r="I58" s="2">
        <f t="shared" ca="1" si="7"/>
        <v>0.78063829787234051</v>
      </c>
      <c r="J58" s="7">
        <f ca="1">+Datos!$M$4*$G$14</f>
        <v>0</v>
      </c>
      <c r="K58" s="2">
        <f ca="1">+Datos!$M$5*'Datos Distribucion'!$G$20</f>
        <v>0.16669859999999992</v>
      </c>
      <c r="L58" s="2"/>
      <c r="M58" s="2"/>
      <c r="O58" t="e" cm="1">
        <f t="array" aca="1" ref="O58" ca="1">+_xlfn.RANK.AVG(A58,espesor,1)</f>
        <v>#N/A</v>
      </c>
      <c r="P58" t="e">
        <f t="shared" ca="1" si="9"/>
        <v>#N/A</v>
      </c>
      <c r="Q58" t="e">
        <f t="shared" ca="1" si="5"/>
        <v>#N/A</v>
      </c>
      <c r="R58" t="str">
        <f t="shared" ca="1" si="10"/>
        <v/>
      </c>
    </row>
    <row r="59" spans="1:18" x14ac:dyDescent="0.3">
      <c r="A59" s="2"/>
      <c r="B59" s="2">
        <f t="shared" si="8"/>
        <v>0</v>
      </c>
      <c r="C59" s="2"/>
      <c r="D59" s="2"/>
      <c r="F59" s="2">
        <f t="shared" ca="1" si="1"/>
        <v>0.64500000000000013</v>
      </c>
      <c r="G59" s="2">
        <f t="shared" ca="1" si="2"/>
        <v>5.0999999999999976E-2</v>
      </c>
      <c r="H59" s="2">
        <f t="shared" ca="1" si="6"/>
        <v>0.50936170212765974</v>
      </c>
      <c r="I59" s="2">
        <f t="shared" ca="1" si="7"/>
        <v>0.78063829787234051</v>
      </c>
      <c r="J59" s="7">
        <f ca="1">+Datos!$M$4*$G$14</f>
        <v>0</v>
      </c>
      <c r="K59" s="2">
        <f ca="1">+Datos!$M$5*'Datos Distribucion'!$G$20</f>
        <v>0.16669859999999992</v>
      </c>
      <c r="L59" s="2"/>
      <c r="M59" s="2"/>
      <c r="O59" t="e" cm="1">
        <f t="array" aca="1" ref="O59" ca="1">+_xlfn.RANK.AVG(A59,espesor,1)</f>
        <v>#N/A</v>
      </c>
      <c r="P59" t="e">
        <f t="shared" ca="1" si="9"/>
        <v>#N/A</v>
      </c>
      <c r="Q59" t="e">
        <f t="shared" ca="1" si="5"/>
        <v>#N/A</v>
      </c>
      <c r="R59" t="str">
        <f t="shared" ca="1" si="10"/>
        <v/>
      </c>
    </row>
    <row r="60" spans="1:18" x14ac:dyDescent="0.3">
      <c r="A60" s="2"/>
      <c r="B60" s="2">
        <f t="shared" si="8"/>
        <v>0</v>
      </c>
      <c r="C60" s="2"/>
      <c r="D60" s="2"/>
      <c r="F60" s="2">
        <f t="shared" ca="1" si="1"/>
        <v>0.64500000000000013</v>
      </c>
      <c r="G60" s="2">
        <f t="shared" ca="1" si="2"/>
        <v>5.0999999999999976E-2</v>
      </c>
      <c r="H60" s="2">
        <f t="shared" ca="1" si="6"/>
        <v>0.50936170212765974</v>
      </c>
      <c r="I60" s="2">
        <f t="shared" ca="1" si="7"/>
        <v>0.78063829787234051</v>
      </c>
      <c r="J60" s="7">
        <f ca="1">+Datos!$M$4*$G$14</f>
        <v>0</v>
      </c>
      <c r="K60" s="2">
        <f ca="1">+Datos!$M$5*'Datos Distribucion'!$G$20</f>
        <v>0.16669859999999992</v>
      </c>
      <c r="L60" s="2"/>
      <c r="M60" s="2"/>
      <c r="O60" t="e" cm="1">
        <f t="array" aca="1" ref="O60" ca="1">+_xlfn.RANK.AVG(A60,espesor,1)</f>
        <v>#N/A</v>
      </c>
      <c r="P60" t="e">
        <f t="shared" ca="1" si="9"/>
        <v>#N/A</v>
      </c>
      <c r="Q60" t="e">
        <f t="shared" ca="1" si="5"/>
        <v>#N/A</v>
      </c>
      <c r="R60" t="str">
        <f t="shared" ca="1" si="10"/>
        <v/>
      </c>
    </row>
    <row r="61" spans="1:18" x14ac:dyDescent="0.3">
      <c r="A61" s="2"/>
      <c r="B61" s="2">
        <f t="shared" si="8"/>
        <v>0</v>
      </c>
      <c r="C61" s="2"/>
      <c r="D61" s="2"/>
      <c r="F61" s="2">
        <f t="shared" ca="1" si="1"/>
        <v>0.64500000000000013</v>
      </c>
      <c r="G61" s="2">
        <f t="shared" ca="1" si="2"/>
        <v>5.0999999999999976E-2</v>
      </c>
      <c r="H61" s="2">
        <f t="shared" ca="1" si="6"/>
        <v>0.50936170212765974</v>
      </c>
      <c r="I61" s="2">
        <f t="shared" ca="1" si="7"/>
        <v>0.78063829787234051</v>
      </c>
      <c r="J61" s="7">
        <f ca="1">+Datos!$M$4*$G$14</f>
        <v>0</v>
      </c>
      <c r="K61" s="2">
        <f ca="1">+Datos!$M$5*'Datos Distribucion'!$G$20</f>
        <v>0.16669859999999992</v>
      </c>
      <c r="L61" s="2"/>
      <c r="M61" s="2"/>
      <c r="O61" t="e" cm="1">
        <f t="array" aca="1" ref="O61" ca="1">+_xlfn.RANK.AVG(A61,espesor,1)</f>
        <v>#N/A</v>
      </c>
      <c r="P61" t="e">
        <f t="shared" ca="1" si="9"/>
        <v>#N/A</v>
      </c>
      <c r="Q61" t="e">
        <f t="shared" ca="1" si="5"/>
        <v>#N/A</v>
      </c>
      <c r="R61" t="str">
        <f t="shared" ca="1" si="10"/>
        <v/>
      </c>
    </row>
    <row r="62" spans="1:18" x14ac:dyDescent="0.3">
      <c r="A62" s="2"/>
      <c r="B62" s="2">
        <f t="shared" si="8"/>
        <v>0</v>
      </c>
      <c r="C62" s="2"/>
      <c r="D62" s="2"/>
      <c r="F62" s="2">
        <f t="shared" ca="1" si="1"/>
        <v>0.64500000000000013</v>
      </c>
      <c r="G62" s="2">
        <f t="shared" ca="1" si="2"/>
        <v>5.0999999999999976E-2</v>
      </c>
      <c r="H62" s="2">
        <f t="shared" ca="1" si="6"/>
        <v>0.50936170212765974</v>
      </c>
      <c r="I62" s="2">
        <f t="shared" ca="1" si="7"/>
        <v>0.78063829787234051</v>
      </c>
      <c r="J62" s="7">
        <f ca="1">+Datos!$M$4*$G$14</f>
        <v>0</v>
      </c>
      <c r="K62" s="2">
        <f ca="1">+Datos!$M$5*'Datos Distribucion'!$G$20</f>
        <v>0.16669859999999992</v>
      </c>
      <c r="L62" s="2"/>
      <c r="M62" s="2"/>
      <c r="O62" t="e" cm="1">
        <f t="array" aca="1" ref="O62" ca="1">+_xlfn.RANK.AVG(A62,espesor,1)</f>
        <v>#N/A</v>
      </c>
      <c r="P62" t="e">
        <f t="shared" ca="1" si="9"/>
        <v>#N/A</v>
      </c>
      <c r="Q62" t="e">
        <f t="shared" ca="1" si="5"/>
        <v>#N/A</v>
      </c>
      <c r="R62" t="str">
        <f t="shared" ca="1" si="10"/>
        <v/>
      </c>
    </row>
    <row r="63" spans="1:18" x14ac:dyDescent="0.3">
      <c r="A63" s="2"/>
      <c r="B63" s="2">
        <f t="shared" si="8"/>
        <v>0</v>
      </c>
      <c r="C63" s="2"/>
      <c r="D63" s="2"/>
      <c r="F63" s="2">
        <f t="shared" ca="1" si="1"/>
        <v>0.64500000000000013</v>
      </c>
      <c r="G63" s="2">
        <f t="shared" ca="1" si="2"/>
        <v>5.0999999999999976E-2</v>
      </c>
      <c r="H63" s="2">
        <f t="shared" ca="1" si="6"/>
        <v>0.50936170212765974</v>
      </c>
      <c r="I63" s="2">
        <f t="shared" ca="1" si="7"/>
        <v>0.78063829787234051</v>
      </c>
      <c r="J63" s="7">
        <f ca="1">+Datos!$M$4*$G$14</f>
        <v>0</v>
      </c>
      <c r="K63" s="2">
        <f ca="1">+Datos!$M$5*'Datos Distribucion'!$G$20</f>
        <v>0.16669859999999992</v>
      </c>
      <c r="L63" s="2"/>
      <c r="M63" s="2"/>
      <c r="O63" t="e" cm="1">
        <f t="array" aca="1" ref="O63" ca="1">+_xlfn.RANK.AVG(A63,espesor,1)</f>
        <v>#N/A</v>
      </c>
      <c r="P63" t="e">
        <f t="shared" ca="1" si="9"/>
        <v>#N/A</v>
      </c>
      <c r="Q63" t="e">
        <f t="shared" ca="1" si="5"/>
        <v>#N/A</v>
      </c>
      <c r="R63" t="str">
        <f t="shared" ca="1" si="10"/>
        <v/>
      </c>
    </row>
    <row r="64" spans="1:18" x14ac:dyDescent="0.3">
      <c r="A64" s="2"/>
      <c r="B64" s="2">
        <f t="shared" si="8"/>
        <v>0</v>
      </c>
      <c r="C64" s="2"/>
      <c r="D64" s="2"/>
      <c r="F64" s="2">
        <f t="shared" ca="1" si="1"/>
        <v>0.64500000000000013</v>
      </c>
      <c r="G64" s="2">
        <f t="shared" ca="1" si="2"/>
        <v>5.0999999999999976E-2</v>
      </c>
      <c r="H64" s="2">
        <f t="shared" ca="1" si="6"/>
        <v>0.50936170212765974</v>
      </c>
      <c r="I64" s="2">
        <f t="shared" ca="1" si="7"/>
        <v>0.78063829787234051</v>
      </c>
      <c r="J64" s="7">
        <f ca="1">+Datos!$M$4*$G$14</f>
        <v>0</v>
      </c>
      <c r="K64" s="2">
        <f ca="1">+Datos!$M$5*'Datos Distribucion'!$G$20</f>
        <v>0.16669859999999992</v>
      </c>
      <c r="L64" s="2"/>
      <c r="M64" s="2"/>
      <c r="O64" t="e" cm="1">
        <f t="array" aca="1" ref="O64" ca="1">+_xlfn.RANK.AVG(A64,espesor,1)</f>
        <v>#N/A</v>
      </c>
      <c r="P64" t="e">
        <f t="shared" ca="1" si="9"/>
        <v>#N/A</v>
      </c>
      <c r="Q64" t="e">
        <f t="shared" ca="1" si="5"/>
        <v>#N/A</v>
      </c>
      <c r="R64" t="str">
        <f t="shared" ca="1" si="10"/>
        <v/>
      </c>
    </row>
    <row r="65" spans="1:18" x14ac:dyDescent="0.3">
      <c r="A65" s="2"/>
      <c r="B65" s="2">
        <f t="shared" ref="B65:B89" si="11">+COUNT(A65)</f>
        <v>0</v>
      </c>
      <c r="C65" s="2"/>
      <c r="D65" s="2"/>
      <c r="F65" s="2">
        <f t="shared" ref="F65:F128" ca="1" si="12">+AVERAGE(espesor)</f>
        <v>0.64500000000000013</v>
      </c>
      <c r="G65" s="2">
        <f t="shared" ref="G65:G128" ca="1" si="13">+AVERAGE(rango_movil)</f>
        <v>5.0999999999999976E-2</v>
      </c>
      <c r="H65" s="2">
        <f t="shared" ca="1" si="6"/>
        <v>0.50936170212765974</v>
      </c>
      <c r="I65" s="2">
        <f t="shared" ca="1" si="7"/>
        <v>0.78063829787234051</v>
      </c>
      <c r="J65" s="7">
        <f ca="1">+Datos!$M$4*$G$14</f>
        <v>0</v>
      </c>
      <c r="K65" s="2">
        <f ca="1">+Datos!$M$5*'Datos Distribucion'!$G$20</f>
        <v>0.16669859999999992</v>
      </c>
      <c r="L65" s="2"/>
      <c r="M65" s="2"/>
      <c r="O65" t="e" cm="1">
        <f t="array" aca="1" ref="O65" ca="1">+_xlfn.RANK.AVG(A65,espesor,1)</f>
        <v>#N/A</v>
      </c>
      <c r="P65" t="e">
        <f t="shared" ref="P65:P89" ca="1" si="14">+(O65-0.5)/COUNT(espesor)</f>
        <v>#N/A</v>
      </c>
      <c r="Q65" t="e">
        <f t="shared" ca="1" si="5"/>
        <v>#N/A</v>
      </c>
      <c r="R65" t="str">
        <f t="shared" ref="R65:R89" ca="1" si="15">+IF(ISNUMBER(O65),STANDARDIZE(A65,AVERAGE(espesor),_xlfn.STDEV.S(espesor)),"")</f>
        <v/>
      </c>
    </row>
    <row r="66" spans="1:18" x14ac:dyDescent="0.3">
      <c r="A66" s="2"/>
      <c r="B66" s="2">
        <f t="shared" si="11"/>
        <v>0</v>
      </c>
      <c r="C66" s="2"/>
      <c r="D66" s="2"/>
      <c r="F66" s="2">
        <f t="shared" ca="1" si="12"/>
        <v>0.64500000000000013</v>
      </c>
      <c r="G66" s="2">
        <f t="shared" ca="1" si="13"/>
        <v>5.0999999999999976E-2</v>
      </c>
      <c r="H66" s="2">
        <f t="shared" ca="1" si="6"/>
        <v>0.50936170212765974</v>
      </c>
      <c r="I66" s="2">
        <f t="shared" ca="1" si="7"/>
        <v>0.78063829787234051</v>
      </c>
      <c r="J66" s="7">
        <f ca="1">+Datos!$M$4*$G$14</f>
        <v>0</v>
      </c>
      <c r="K66" s="2">
        <f ca="1">+Datos!$M$5*'Datos Distribucion'!$G$20</f>
        <v>0.16669859999999992</v>
      </c>
      <c r="L66" s="2"/>
      <c r="M66" s="2"/>
      <c r="O66" t="e" cm="1">
        <f t="array" aca="1" ref="O66" ca="1">+_xlfn.RANK.AVG(A66,espesor,1)</f>
        <v>#N/A</v>
      </c>
      <c r="P66" t="e">
        <f t="shared" ca="1" si="14"/>
        <v>#N/A</v>
      </c>
      <c r="Q66" t="e">
        <f t="shared" ref="Q66:Q89" ca="1" si="16">+_xlfn.NORM.S.INV(P66)</f>
        <v>#N/A</v>
      </c>
      <c r="R66" t="str">
        <f t="shared" ca="1" si="15"/>
        <v/>
      </c>
    </row>
    <row r="67" spans="1:18" x14ac:dyDescent="0.3">
      <c r="A67" s="2"/>
      <c r="B67" s="2">
        <f t="shared" si="11"/>
        <v>0</v>
      </c>
      <c r="C67" s="2"/>
      <c r="D67" s="2"/>
      <c r="F67" s="2">
        <f t="shared" ca="1" si="12"/>
        <v>0.64500000000000013</v>
      </c>
      <c r="G67" s="2">
        <f t="shared" ca="1" si="13"/>
        <v>5.0999999999999976E-2</v>
      </c>
      <c r="H67" s="2">
        <f t="shared" ref="H67:H130" ca="1" si="17">+$F$2-(3*$G$1/1.128)</f>
        <v>0.50936170212765974</v>
      </c>
      <c r="I67" s="2">
        <f t="shared" ref="I67:I130" ca="1" si="18">+$F$2+(3*$G$1/1.128)</f>
        <v>0.78063829787234051</v>
      </c>
      <c r="J67" s="7">
        <f ca="1">+Datos!$M$4*$G$14</f>
        <v>0</v>
      </c>
      <c r="K67" s="2">
        <f ca="1">+Datos!$M$5*'Datos Distribucion'!$G$20</f>
        <v>0.16669859999999992</v>
      </c>
      <c r="L67" s="2"/>
      <c r="M67" s="2"/>
      <c r="O67" t="e" cm="1">
        <f t="array" aca="1" ref="O67" ca="1">+_xlfn.RANK.AVG(A67,espesor,1)</f>
        <v>#N/A</v>
      </c>
      <c r="P67" t="e">
        <f t="shared" ca="1" si="14"/>
        <v>#N/A</v>
      </c>
      <c r="Q67" t="e">
        <f t="shared" ca="1" si="16"/>
        <v>#N/A</v>
      </c>
      <c r="R67" t="str">
        <f t="shared" ca="1" si="15"/>
        <v/>
      </c>
    </row>
    <row r="68" spans="1:18" x14ac:dyDescent="0.3">
      <c r="A68" s="2"/>
      <c r="B68" s="2">
        <f t="shared" si="11"/>
        <v>0</v>
      </c>
      <c r="C68" s="2"/>
      <c r="D68" s="2"/>
      <c r="F68" s="2">
        <f t="shared" ca="1" si="12"/>
        <v>0.64500000000000013</v>
      </c>
      <c r="G68" s="2">
        <f t="shared" ca="1" si="13"/>
        <v>5.0999999999999976E-2</v>
      </c>
      <c r="H68" s="2">
        <f t="shared" ca="1" si="17"/>
        <v>0.50936170212765974</v>
      </c>
      <c r="I68" s="2">
        <f t="shared" ca="1" si="18"/>
        <v>0.78063829787234051</v>
      </c>
      <c r="J68" s="7">
        <f ca="1">+Datos!$M$4*$G$14</f>
        <v>0</v>
      </c>
      <c r="K68" s="2">
        <f ca="1">+Datos!$M$5*'Datos Distribucion'!$G$20</f>
        <v>0.16669859999999992</v>
      </c>
      <c r="L68" s="2"/>
      <c r="M68" s="2"/>
      <c r="O68" t="e" cm="1">
        <f t="array" aca="1" ref="O68" ca="1">+_xlfn.RANK.AVG(A68,espesor,1)</f>
        <v>#N/A</v>
      </c>
      <c r="P68" t="e">
        <f t="shared" ca="1" si="14"/>
        <v>#N/A</v>
      </c>
      <c r="Q68" t="e">
        <f t="shared" ca="1" si="16"/>
        <v>#N/A</v>
      </c>
      <c r="R68" t="str">
        <f t="shared" ca="1" si="15"/>
        <v/>
      </c>
    </row>
    <row r="69" spans="1:18" x14ac:dyDescent="0.3">
      <c r="A69" s="2"/>
      <c r="B69" s="2">
        <f t="shared" si="11"/>
        <v>0</v>
      </c>
      <c r="C69" s="2"/>
      <c r="D69" s="2"/>
      <c r="F69" s="2">
        <f t="shared" ca="1" si="12"/>
        <v>0.64500000000000013</v>
      </c>
      <c r="G69" s="2">
        <f t="shared" ca="1" si="13"/>
        <v>5.0999999999999976E-2</v>
      </c>
      <c r="H69" s="2">
        <f t="shared" ca="1" si="17"/>
        <v>0.50936170212765974</v>
      </c>
      <c r="I69" s="2">
        <f t="shared" ca="1" si="18"/>
        <v>0.78063829787234051</v>
      </c>
      <c r="J69" s="7">
        <f ca="1">+Datos!$M$4*$G$14</f>
        <v>0</v>
      </c>
      <c r="K69" s="2">
        <f ca="1">+Datos!$M$5*'Datos Distribucion'!$G$20</f>
        <v>0.16669859999999992</v>
      </c>
      <c r="L69" s="2"/>
      <c r="M69" s="2"/>
      <c r="O69" t="e" cm="1">
        <f t="array" aca="1" ref="O69" ca="1">+_xlfn.RANK.AVG(A69,espesor,1)</f>
        <v>#N/A</v>
      </c>
      <c r="P69" t="e">
        <f t="shared" ca="1" si="14"/>
        <v>#N/A</v>
      </c>
      <c r="Q69" t="e">
        <f t="shared" ca="1" si="16"/>
        <v>#N/A</v>
      </c>
      <c r="R69" t="str">
        <f t="shared" ca="1" si="15"/>
        <v/>
      </c>
    </row>
    <row r="70" spans="1:18" x14ac:dyDescent="0.3">
      <c r="A70" s="2"/>
      <c r="B70" s="2">
        <f t="shared" si="11"/>
        <v>0</v>
      </c>
      <c r="C70" s="2"/>
      <c r="D70" s="2"/>
      <c r="F70" s="2">
        <f t="shared" ca="1" si="12"/>
        <v>0.64500000000000013</v>
      </c>
      <c r="G70" s="2">
        <f t="shared" ca="1" si="13"/>
        <v>5.0999999999999976E-2</v>
      </c>
      <c r="H70" s="2">
        <f t="shared" ca="1" si="17"/>
        <v>0.50936170212765974</v>
      </c>
      <c r="I70" s="2">
        <f t="shared" ca="1" si="18"/>
        <v>0.78063829787234051</v>
      </c>
      <c r="J70" s="7">
        <f ca="1">+Datos!$M$4*$G$14</f>
        <v>0</v>
      </c>
      <c r="K70" s="2">
        <f ca="1">+Datos!$M$5*'Datos Distribucion'!$G$20</f>
        <v>0.16669859999999992</v>
      </c>
      <c r="L70" s="2"/>
      <c r="M70" s="2"/>
      <c r="O70" t="e" cm="1">
        <f t="array" aca="1" ref="O70" ca="1">+_xlfn.RANK.AVG(A70,espesor,1)</f>
        <v>#N/A</v>
      </c>
      <c r="P70" t="e">
        <f t="shared" ca="1" si="14"/>
        <v>#N/A</v>
      </c>
      <c r="Q70" t="e">
        <f t="shared" ca="1" si="16"/>
        <v>#N/A</v>
      </c>
      <c r="R70" t="str">
        <f t="shared" ca="1" si="15"/>
        <v/>
      </c>
    </row>
    <row r="71" spans="1:18" x14ac:dyDescent="0.3">
      <c r="A71" s="2"/>
      <c r="B71" s="2">
        <f t="shared" si="11"/>
        <v>0</v>
      </c>
      <c r="C71" s="2"/>
      <c r="D71" s="2"/>
      <c r="F71" s="2">
        <f t="shared" ca="1" si="12"/>
        <v>0.64500000000000013</v>
      </c>
      <c r="G71" s="2">
        <f t="shared" ca="1" si="13"/>
        <v>5.0999999999999976E-2</v>
      </c>
      <c r="H71" s="2">
        <f t="shared" ca="1" si="17"/>
        <v>0.50936170212765974</v>
      </c>
      <c r="I71" s="2">
        <f t="shared" ca="1" si="18"/>
        <v>0.78063829787234051</v>
      </c>
      <c r="J71" s="7">
        <f ca="1">+Datos!$M$4*$G$14</f>
        <v>0</v>
      </c>
      <c r="K71" s="2">
        <f ca="1">+Datos!$M$5*'Datos Distribucion'!$G$20</f>
        <v>0.16669859999999992</v>
      </c>
      <c r="L71" s="2"/>
      <c r="M71" s="2"/>
      <c r="O71" t="e" cm="1">
        <f t="array" aca="1" ref="O71" ca="1">+_xlfn.RANK.AVG(A71,espesor,1)</f>
        <v>#N/A</v>
      </c>
      <c r="P71" t="e">
        <f t="shared" ca="1" si="14"/>
        <v>#N/A</v>
      </c>
      <c r="Q71" t="e">
        <f t="shared" ca="1" si="16"/>
        <v>#N/A</v>
      </c>
      <c r="R71" t="str">
        <f t="shared" ca="1" si="15"/>
        <v/>
      </c>
    </row>
    <row r="72" spans="1:18" x14ac:dyDescent="0.3">
      <c r="A72" s="2"/>
      <c r="B72" s="2">
        <f t="shared" si="11"/>
        <v>0</v>
      </c>
      <c r="C72" s="2"/>
      <c r="D72" s="2"/>
      <c r="F72" s="2">
        <f t="shared" ca="1" si="12"/>
        <v>0.64500000000000013</v>
      </c>
      <c r="G72" s="2">
        <f t="shared" ca="1" si="13"/>
        <v>5.0999999999999976E-2</v>
      </c>
      <c r="H72" s="2">
        <f t="shared" ca="1" si="17"/>
        <v>0.50936170212765974</v>
      </c>
      <c r="I72" s="2">
        <f t="shared" ca="1" si="18"/>
        <v>0.78063829787234051</v>
      </c>
      <c r="J72" s="7">
        <f ca="1">+Datos!$M$4*$G$14</f>
        <v>0</v>
      </c>
      <c r="K72" s="2">
        <f ca="1">+Datos!$M$5*'Datos Distribucion'!$G$20</f>
        <v>0.16669859999999992</v>
      </c>
      <c r="L72" s="2"/>
      <c r="M72" s="2"/>
      <c r="O72" t="e" cm="1">
        <f t="array" aca="1" ref="O72" ca="1">+_xlfn.RANK.AVG(A72,espesor,1)</f>
        <v>#N/A</v>
      </c>
      <c r="P72" t="e">
        <f t="shared" ca="1" si="14"/>
        <v>#N/A</v>
      </c>
      <c r="Q72" t="e">
        <f t="shared" ca="1" si="16"/>
        <v>#N/A</v>
      </c>
      <c r="R72" t="str">
        <f t="shared" ca="1" si="15"/>
        <v/>
      </c>
    </row>
    <row r="73" spans="1:18" x14ac:dyDescent="0.3">
      <c r="A73" s="2"/>
      <c r="B73" s="2">
        <f t="shared" si="11"/>
        <v>0</v>
      </c>
      <c r="C73" s="2"/>
      <c r="D73" s="2"/>
      <c r="F73" s="2">
        <f t="shared" ca="1" si="12"/>
        <v>0.64500000000000013</v>
      </c>
      <c r="G73" s="2">
        <f t="shared" ca="1" si="13"/>
        <v>5.0999999999999976E-2</v>
      </c>
      <c r="H73" s="2">
        <f t="shared" ca="1" si="17"/>
        <v>0.50936170212765974</v>
      </c>
      <c r="I73" s="2">
        <f t="shared" ca="1" si="18"/>
        <v>0.78063829787234051</v>
      </c>
      <c r="J73" s="7">
        <f ca="1">+Datos!$M$4*$G$14</f>
        <v>0</v>
      </c>
      <c r="K73" s="2">
        <f ca="1">+Datos!$M$5*'Datos Distribucion'!$G$20</f>
        <v>0.16669859999999992</v>
      </c>
      <c r="L73" s="2"/>
      <c r="M73" s="2"/>
      <c r="O73" t="e" cm="1">
        <f t="array" aca="1" ref="O73" ca="1">+_xlfn.RANK.AVG(A73,espesor,1)</f>
        <v>#N/A</v>
      </c>
      <c r="P73" t="e">
        <f t="shared" ca="1" si="14"/>
        <v>#N/A</v>
      </c>
      <c r="Q73" t="e">
        <f t="shared" ca="1" si="16"/>
        <v>#N/A</v>
      </c>
      <c r="R73" t="str">
        <f t="shared" ca="1" si="15"/>
        <v/>
      </c>
    </row>
    <row r="74" spans="1:18" x14ac:dyDescent="0.3">
      <c r="A74" s="2"/>
      <c r="B74" s="2">
        <f t="shared" si="11"/>
        <v>0</v>
      </c>
      <c r="C74" s="2"/>
      <c r="D74" s="2"/>
      <c r="F74" s="2">
        <f t="shared" ca="1" si="12"/>
        <v>0.64500000000000013</v>
      </c>
      <c r="G74" s="2">
        <f t="shared" ca="1" si="13"/>
        <v>5.0999999999999976E-2</v>
      </c>
      <c r="H74" s="2">
        <f t="shared" ca="1" si="17"/>
        <v>0.50936170212765974</v>
      </c>
      <c r="I74" s="2">
        <f t="shared" ca="1" si="18"/>
        <v>0.78063829787234051</v>
      </c>
      <c r="J74" s="7">
        <f ca="1">+Datos!$M$4*$G$14</f>
        <v>0</v>
      </c>
      <c r="K74" s="2">
        <f ca="1">+Datos!$M$5*'Datos Distribucion'!$G$20</f>
        <v>0.16669859999999992</v>
      </c>
      <c r="L74" s="2"/>
      <c r="M74" s="2"/>
      <c r="O74" t="e" cm="1">
        <f t="array" aca="1" ref="O74" ca="1">+_xlfn.RANK.AVG(A74,espesor,1)</f>
        <v>#N/A</v>
      </c>
      <c r="P74" t="e">
        <f t="shared" ca="1" si="14"/>
        <v>#N/A</v>
      </c>
      <c r="Q74" t="e">
        <f t="shared" ca="1" si="16"/>
        <v>#N/A</v>
      </c>
      <c r="R74" t="str">
        <f t="shared" ca="1" si="15"/>
        <v/>
      </c>
    </row>
    <row r="75" spans="1:18" x14ac:dyDescent="0.3">
      <c r="B75" s="2">
        <f t="shared" si="11"/>
        <v>0</v>
      </c>
      <c r="F75" s="2">
        <f t="shared" ca="1" si="12"/>
        <v>0.64500000000000013</v>
      </c>
      <c r="G75" s="2">
        <f t="shared" ca="1" si="13"/>
        <v>5.0999999999999976E-2</v>
      </c>
      <c r="H75" s="2">
        <f t="shared" ca="1" si="17"/>
        <v>0.50936170212765974</v>
      </c>
      <c r="I75" s="2">
        <f t="shared" ca="1" si="18"/>
        <v>0.78063829787234051</v>
      </c>
      <c r="J75" s="7">
        <f ca="1">+Datos!$M$4*$G$14</f>
        <v>0</v>
      </c>
      <c r="K75" s="2">
        <f ca="1">+Datos!$M$5*'Datos Distribucion'!$G$20</f>
        <v>0.16669859999999992</v>
      </c>
      <c r="L75" s="2"/>
      <c r="M75" s="2"/>
      <c r="O75" t="e" cm="1">
        <f t="array" aca="1" ref="O75" ca="1">+_xlfn.RANK.AVG(A75,espesor,1)</f>
        <v>#N/A</v>
      </c>
      <c r="P75" t="e">
        <f t="shared" ca="1" si="14"/>
        <v>#N/A</v>
      </c>
      <c r="Q75" t="e">
        <f t="shared" ca="1" si="16"/>
        <v>#N/A</v>
      </c>
      <c r="R75" t="str">
        <f t="shared" ca="1" si="15"/>
        <v/>
      </c>
    </row>
    <row r="76" spans="1:18" x14ac:dyDescent="0.3">
      <c r="B76" s="2">
        <f t="shared" si="11"/>
        <v>0</v>
      </c>
      <c r="F76" s="2">
        <f t="shared" ca="1" si="12"/>
        <v>0.64500000000000013</v>
      </c>
      <c r="G76" s="2">
        <f t="shared" ca="1" si="13"/>
        <v>5.0999999999999976E-2</v>
      </c>
      <c r="H76" s="2">
        <f t="shared" ca="1" si="17"/>
        <v>0.50936170212765974</v>
      </c>
      <c r="I76" s="2">
        <f t="shared" ca="1" si="18"/>
        <v>0.78063829787234051</v>
      </c>
      <c r="J76" s="7">
        <f ca="1">+Datos!$M$4*$G$14</f>
        <v>0</v>
      </c>
      <c r="K76" s="2">
        <f ca="1">+Datos!$M$5*'Datos Distribucion'!$G$20</f>
        <v>0.16669859999999992</v>
      </c>
      <c r="L76" s="2"/>
      <c r="M76" s="2"/>
      <c r="O76" t="e" cm="1">
        <f t="array" aca="1" ref="O76" ca="1">+_xlfn.RANK.AVG(A76,espesor,1)</f>
        <v>#N/A</v>
      </c>
      <c r="P76" t="e">
        <f t="shared" ca="1" si="14"/>
        <v>#N/A</v>
      </c>
      <c r="Q76" t="e">
        <f t="shared" ca="1" si="16"/>
        <v>#N/A</v>
      </c>
      <c r="R76" t="str">
        <f t="shared" ca="1" si="15"/>
        <v/>
      </c>
    </row>
    <row r="77" spans="1:18" x14ac:dyDescent="0.3">
      <c r="B77" s="2">
        <f t="shared" si="11"/>
        <v>0</v>
      </c>
      <c r="F77" s="2">
        <f t="shared" ca="1" si="12"/>
        <v>0.64500000000000013</v>
      </c>
      <c r="G77" s="2">
        <f t="shared" ca="1" si="13"/>
        <v>5.0999999999999976E-2</v>
      </c>
      <c r="H77" s="2">
        <f t="shared" ca="1" si="17"/>
        <v>0.50936170212765974</v>
      </c>
      <c r="I77" s="2">
        <f t="shared" ca="1" si="18"/>
        <v>0.78063829787234051</v>
      </c>
      <c r="J77" s="7">
        <f ca="1">+Datos!$M$4*$G$14</f>
        <v>0</v>
      </c>
      <c r="K77" s="2">
        <f ca="1">+Datos!$M$5*'Datos Distribucion'!$G$20</f>
        <v>0.16669859999999992</v>
      </c>
      <c r="L77" s="2"/>
      <c r="M77" s="2"/>
      <c r="O77" t="e" cm="1">
        <f t="array" aca="1" ref="O77" ca="1">+_xlfn.RANK.AVG(A77,espesor,1)</f>
        <v>#N/A</v>
      </c>
      <c r="P77" t="e">
        <f t="shared" ca="1" si="14"/>
        <v>#N/A</v>
      </c>
      <c r="Q77" t="e">
        <f t="shared" ca="1" si="16"/>
        <v>#N/A</v>
      </c>
      <c r="R77" t="str">
        <f t="shared" ca="1" si="15"/>
        <v/>
      </c>
    </row>
    <row r="78" spans="1:18" x14ac:dyDescent="0.3">
      <c r="B78" s="2">
        <f t="shared" si="11"/>
        <v>0</v>
      </c>
      <c r="F78" s="2">
        <f t="shared" ca="1" si="12"/>
        <v>0.64500000000000013</v>
      </c>
      <c r="G78" s="2">
        <f t="shared" ca="1" si="13"/>
        <v>5.0999999999999976E-2</v>
      </c>
      <c r="H78" s="2">
        <f t="shared" ca="1" si="17"/>
        <v>0.50936170212765974</v>
      </c>
      <c r="I78" s="2">
        <f t="shared" ca="1" si="18"/>
        <v>0.78063829787234051</v>
      </c>
      <c r="J78" s="7">
        <f ca="1">+Datos!$M$4*$G$14</f>
        <v>0</v>
      </c>
      <c r="K78" s="2">
        <f ca="1">+Datos!$M$5*'Datos Distribucion'!$G$20</f>
        <v>0.16669859999999992</v>
      </c>
      <c r="L78" s="2"/>
      <c r="M78" s="2"/>
      <c r="O78" t="e" cm="1">
        <f t="array" aca="1" ref="O78" ca="1">+_xlfn.RANK.AVG(A78,espesor,1)</f>
        <v>#N/A</v>
      </c>
      <c r="P78" t="e">
        <f t="shared" ca="1" si="14"/>
        <v>#N/A</v>
      </c>
      <c r="Q78" t="e">
        <f t="shared" ca="1" si="16"/>
        <v>#N/A</v>
      </c>
      <c r="R78" t="str">
        <f t="shared" ca="1" si="15"/>
        <v/>
      </c>
    </row>
    <row r="79" spans="1:18" x14ac:dyDescent="0.3">
      <c r="B79" s="2">
        <f t="shared" si="11"/>
        <v>0</v>
      </c>
      <c r="F79" s="2">
        <f t="shared" ca="1" si="12"/>
        <v>0.64500000000000013</v>
      </c>
      <c r="G79" s="2">
        <f t="shared" ca="1" si="13"/>
        <v>5.0999999999999976E-2</v>
      </c>
      <c r="H79" s="2">
        <f t="shared" ca="1" si="17"/>
        <v>0.50936170212765974</v>
      </c>
      <c r="I79" s="2">
        <f t="shared" ca="1" si="18"/>
        <v>0.78063829787234051</v>
      </c>
      <c r="J79" s="7">
        <f ca="1">+Datos!$M$4*$G$14</f>
        <v>0</v>
      </c>
      <c r="K79" s="2">
        <f ca="1">+Datos!$M$5*'Datos Distribucion'!$G$20</f>
        <v>0.16669859999999992</v>
      </c>
      <c r="L79" s="2"/>
      <c r="M79" s="2"/>
      <c r="O79" t="e" cm="1">
        <f t="array" aca="1" ref="O79" ca="1">+_xlfn.RANK.AVG(A79,espesor,1)</f>
        <v>#N/A</v>
      </c>
      <c r="P79" t="e">
        <f t="shared" ca="1" si="14"/>
        <v>#N/A</v>
      </c>
      <c r="Q79" t="e">
        <f t="shared" ca="1" si="16"/>
        <v>#N/A</v>
      </c>
      <c r="R79" t="str">
        <f t="shared" ca="1" si="15"/>
        <v/>
      </c>
    </row>
    <row r="80" spans="1:18" x14ac:dyDescent="0.3">
      <c r="B80" s="2">
        <f t="shared" si="11"/>
        <v>0</v>
      </c>
      <c r="F80" s="2">
        <f t="shared" ca="1" si="12"/>
        <v>0.64500000000000013</v>
      </c>
      <c r="G80" s="2">
        <f t="shared" ca="1" si="13"/>
        <v>5.0999999999999976E-2</v>
      </c>
      <c r="H80" s="2">
        <f t="shared" ca="1" si="17"/>
        <v>0.50936170212765974</v>
      </c>
      <c r="I80" s="2">
        <f t="shared" ca="1" si="18"/>
        <v>0.78063829787234051</v>
      </c>
      <c r="J80" s="7">
        <f ca="1">+Datos!$M$4*$G$14</f>
        <v>0</v>
      </c>
      <c r="K80" s="2">
        <f ca="1">+Datos!$M$5*'Datos Distribucion'!$G$20</f>
        <v>0.16669859999999992</v>
      </c>
      <c r="L80" s="2"/>
      <c r="M80" s="2"/>
      <c r="O80" t="e" cm="1">
        <f t="array" aca="1" ref="O80" ca="1">+_xlfn.RANK.AVG(A80,espesor,1)</f>
        <v>#N/A</v>
      </c>
      <c r="P80" t="e">
        <f t="shared" ca="1" si="14"/>
        <v>#N/A</v>
      </c>
      <c r="Q80" t="e">
        <f t="shared" ca="1" si="16"/>
        <v>#N/A</v>
      </c>
      <c r="R80" t="str">
        <f t="shared" ca="1" si="15"/>
        <v/>
      </c>
    </row>
    <row r="81" spans="2:18" x14ac:dyDescent="0.3">
      <c r="B81" s="2">
        <f t="shared" si="11"/>
        <v>0</v>
      </c>
      <c r="F81" s="2">
        <f t="shared" ca="1" si="12"/>
        <v>0.64500000000000013</v>
      </c>
      <c r="G81" s="2">
        <f t="shared" ca="1" si="13"/>
        <v>5.0999999999999976E-2</v>
      </c>
      <c r="H81" s="2">
        <f t="shared" ca="1" si="17"/>
        <v>0.50936170212765974</v>
      </c>
      <c r="I81" s="2">
        <f t="shared" ca="1" si="18"/>
        <v>0.78063829787234051</v>
      </c>
      <c r="J81" s="7">
        <f ca="1">+Datos!$M$4*$G$14</f>
        <v>0</v>
      </c>
      <c r="K81" s="2">
        <f ca="1">+Datos!$M$5*'Datos Distribucion'!$G$20</f>
        <v>0.16669859999999992</v>
      </c>
      <c r="L81" s="2"/>
      <c r="M81" s="2"/>
      <c r="O81" t="e" cm="1">
        <f t="array" aca="1" ref="O81" ca="1">+_xlfn.RANK.AVG(A81,espesor,1)</f>
        <v>#N/A</v>
      </c>
      <c r="P81" t="e">
        <f t="shared" ca="1" si="14"/>
        <v>#N/A</v>
      </c>
      <c r="Q81" t="e">
        <f t="shared" ca="1" si="16"/>
        <v>#N/A</v>
      </c>
      <c r="R81" t="str">
        <f t="shared" ca="1" si="15"/>
        <v/>
      </c>
    </row>
    <row r="82" spans="2:18" x14ac:dyDescent="0.3">
      <c r="B82" s="2">
        <f t="shared" si="11"/>
        <v>0</v>
      </c>
      <c r="F82" s="2">
        <f t="shared" ca="1" si="12"/>
        <v>0.64500000000000013</v>
      </c>
      <c r="G82" s="2">
        <f t="shared" ca="1" si="13"/>
        <v>5.0999999999999976E-2</v>
      </c>
      <c r="H82" s="2">
        <f t="shared" ca="1" si="17"/>
        <v>0.50936170212765974</v>
      </c>
      <c r="I82" s="2">
        <f t="shared" ca="1" si="18"/>
        <v>0.78063829787234051</v>
      </c>
      <c r="J82" s="7">
        <f ca="1">+Datos!$M$4*$G$14</f>
        <v>0</v>
      </c>
      <c r="K82" s="2">
        <f ca="1">+Datos!$M$5*'Datos Distribucion'!$G$20</f>
        <v>0.16669859999999992</v>
      </c>
      <c r="L82" s="2"/>
      <c r="M82" s="2"/>
      <c r="O82" t="e" cm="1">
        <f t="array" aca="1" ref="O82" ca="1">+_xlfn.RANK.AVG(A82,espesor,1)</f>
        <v>#N/A</v>
      </c>
      <c r="P82" t="e">
        <f t="shared" ca="1" si="14"/>
        <v>#N/A</v>
      </c>
      <c r="Q82" t="e">
        <f t="shared" ca="1" si="16"/>
        <v>#N/A</v>
      </c>
      <c r="R82" t="str">
        <f t="shared" ca="1" si="15"/>
        <v/>
      </c>
    </row>
    <row r="83" spans="2:18" x14ac:dyDescent="0.3">
      <c r="B83" s="2">
        <f t="shared" si="11"/>
        <v>0</v>
      </c>
      <c r="F83" s="2">
        <f t="shared" ca="1" si="12"/>
        <v>0.64500000000000013</v>
      </c>
      <c r="G83" s="2">
        <f t="shared" ca="1" si="13"/>
        <v>5.0999999999999976E-2</v>
      </c>
      <c r="H83" s="2">
        <f t="shared" ca="1" si="17"/>
        <v>0.50936170212765974</v>
      </c>
      <c r="I83" s="2">
        <f t="shared" ca="1" si="18"/>
        <v>0.78063829787234051</v>
      </c>
      <c r="J83" s="7">
        <f ca="1">+Datos!$M$4*$G$14</f>
        <v>0</v>
      </c>
      <c r="K83" s="2">
        <f ca="1">+Datos!$M$5*'Datos Distribucion'!$G$20</f>
        <v>0.16669859999999992</v>
      </c>
      <c r="L83" s="2"/>
      <c r="M83" s="2"/>
      <c r="O83" t="e" cm="1">
        <f t="array" aca="1" ref="O83" ca="1">+_xlfn.RANK.AVG(A83,espesor,1)</f>
        <v>#N/A</v>
      </c>
      <c r="P83" t="e">
        <f t="shared" ca="1" si="14"/>
        <v>#N/A</v>
      </c>
      <c r="Q83" t="e">
        <f t="shared" ca="1" si="16"/>
        <v>#N/A</v>
      </c>
      <c r="R83" t="str">
        <f t="shared" ca="1" si="15"/>
        <v/>
      </c>
    </row>
    <row r="84" spans="2:18" x14ac:dyDescent="0.3">
      <c r="B84" s="2">
        <f t="shared" si="11"/>
        <v>0</v>
      </c>
      <c r="F84" s="2">
        <f t="shared" ca="1" si="12"/>
        <v>0.64500000000000013</v>
      </c>
      <c r="G84" s="2">
        <f t="shared" ca="1" si="13"/>
        <v>5.0999999999999976E-2</v>
      </c>
      <c r="H84" s="2">
        <f t="shared" ca="1" si="17"/>
        <v>0.50936170212765974</v>
      </c>
      <c r="I84" s="2">
        <f t="shared" ca="1" si="18"/>
        <v>0.78063829787234051</v>
      </c>
      <c r="J84" s="7">
        <f ca="1">+Datos!$M$4*$G$14</f>
        <v>0</v>
      </c>
      <c r="K84" s="2">
        <f ca="1">+Datos!$M$5*'Datos Distribucion'!$G$20</f>
        <v>0.16669859999999992</v>
      </c>
      <c r="L84" s="2"/>
      <c r="M84" s="2"/>
      <c r="O84" t="e" cm="1">
        <f t="array" aca="1" ref="O84" ca="1">+_xlfn.RANK.AVG(A84,espesor,1)</f>
        <v>#N/A</v>
      </c>
      <c r="P84" t="e">
        <f t="shared" ca="1" si="14"/>
        <v>#N/A</v>
      </c>
      <c r="Q84" t="e">
        <f t="shared" ca="1" si="16"/>
        <v>#N/A</v>
      </c>
      <c r="R84" t="str">
        <f t="shared" ca="1" si="15"/>
        <v/>
      </c>
    </row>
    <row r="85" spans="2:18" x14ac:dyDescent="0.3">
      <c r="B85" s="2">
        <f t="shared" si="11"/>
        <v>0</v>
      </c>
      <c r="F85" s="2">
        <f t="shared" ca="1" si="12"/>
        <v>0.64500000000000013</v>
      </c>
      <c r="G85" s="2">
        <f t="shared" ca="1" si="13"/>
        <v>5.0999999999999976E-2</v>
      </c>
      <c r="H85" s="2">
        <f t="shared" ca="1" si="17"/>
        <v>0.50936170212765974</v>
      </c>
      <c r="I85" s="2">
        <f t="shared" ca="1" si="18"/>
        <v>0.78063829787234051</v>
      </c>
      <c r="J85" s="7">
        <f ca="1">+Datos!$M$4*$G$14</f>
        <v>0</v>
      </c>
      <c r="K85" s="2">
        <f ca="1">+Datos!$M$5*'Datos Distribucion'!$G$20</f>
        <v>0.16669859999999992</v>
      </c>
      <c r="L85" s="2"/>
      <c r="M85" s="2"/>
      <c r="O85" t="e" cm="1">
        <f t="array" aca="1" ref="O85" ca="1">+_xlfn.RANK.AVG(A85,espesor,1)</f>
        <v>#N/A</v>
      </c>
      <c r="P85" t="e">
        <f t="shared" ca="1" si="14"/>
        <v>#N/A</v>
      </c>
      <c r="Q85" t="e">
        <f t="shared" ca="1" si="16"/>
        <v>#N/A</v>
      </c>
      <c r="R85" t="str">
        <f t="shared" ca="1" si="15"/>
        <v/>
      </c>
    </row>
    <row r="86" spans="2:18" x14ac:dyDescent="0.3">
      <c r="B86" s="2">
        <f t="shared" si="11"/>
        <v>0</v>
      </c>
      <c r="F86" s="2">
        <f t="shared" ca="1" si="12"/>
        <v>0.64500000000000013</v>
      </c>
      <c r="G86" s="2">
        <f t="shared" ca="1" si="13"/>
        <v>5.0999999999999976E-2</v>
      </c>
      <c r="H86" s="2">
        <f t="shared" ca="1" si="17"/>
        <v>0.50936170212765974</v>
      </c>
      <c r="I86" s="2">
        <f t="shared" ca="1" si="18"/>
        <v>0.78063829787234051</v>
      </c>
      <c r="J86" s="7">
        <f ca="1">+Datos!$M$4*$G$14</f>
        <v>0</v>
      </c>
      <c r="K86" s="2">
        <f ca="1">+Datos!$M$5*'Datos Distribucion'!$G$20</f>
        <v>0.16669859999999992</v>
      </c>
      <c r="L86" s="2"/>
      <c r="M86" s="2"/>
      <c r="O86" t="e" cm="1">
        <f t="array" aca="1" ref="O86" ca="1">+_xlfn.RANK.AVG(A86,espesor,1)</f>
        <v>#N/A</v>
      </c>
      <c r="P86" t="e">
        <f t="shared" ca="1" si="14"/>
        <v>#N/A</v>
      </c>
      <c r="Q86" t="e">
        <f t="shared" ca="1" si="16"/>
        <v>#N/A</v>
      </c>
      <c r="R86" t="str">
        <f t="shared" ca="1" si="15"/>
        <v/>
      </c>
    </row>
    <row r="87" spans="2:18" x14ac:dyDescent="0.3">
      <c r="B87" s="2">
        <f t="shared" si="11"/>
        <v>0</v>
      </c>
      <c r="F87" s="2">
        <f t="shared" ca="1" si="12"/>
        <v>0.64500000000000013</v>
      </c>
      <c r="G87" s="2">
        <f t="shared" ca="1" si="13"/>
        <v>5.0999999999999976E-2</v>
      </c>
      <c r="H87" s="2">
        <f t="shared" ca="1" si="17"/>
        <v>0.50936170212765974</v>
      </c>
      <c r="I87" s="2">
        <f t="shared" ca="1" si="18"/>
        <v>0.78063829787234051</v>
      </c>
      <c r="J87" s="7">
        <f ca="1">+Datos!$M$4*$G$14</f>
        <v>0</v>
      </c>
      <c r="K87" s="2">
        <f ca="1">+Datos!$M$5*'Datos Distribucion'!$G$20</f>
        <v>0.16669859999999992</v>
      </c>
      <c r="L87" s="2"/>
      <c r="M87" s="2"/>
      <c r="O87" t="e" cm="1">
        <f t="array" aca="1" ref="O87" ca="1">+_xlfn.RANK.AVG(A87,espesor,1)</f>
        <v>#N/A</v>
      </c>
      <c r="P87" t="e">
        <f t="shared" ca="1" si="14"/>
        <v>#N/A</v>
      </c>
      <c r="Q87" t="e">
        <f t="shared" ca="1" si="16"/>
        <v>#N/A</v>
      </c>
      <c r="R87" t="str">
        <f t="shared" ca="1" si="15"/>
        <v/>
      </c>
    </row>
    <row r="88" spans="2:18" x14ac:dyDescent="0.3">
      <c r="B88" s="2">
        <f t="shared" si="11"/>
        <v>0</v>
      </c>
      <c r="F88" s="2">
        <f t="shared" ca="1" si="12"/>
        <v>0.64500000000000013</v>
      </c>
      <c r="G88" s="2">
        <f t="shared" ca="1" si="13"/>
        <v>5.0999999999999976E-2</v>
      </c>
      <c r="H88" s="2">
        <f t="shared" ca="1" si="17"/>
        <v>0.50936170212765974</v>
      </c>
      <c r="I88" s="2">
        <f t="shared" ca="1" si="18"/>
        <v>0.78063829787234051</v>
      </c>
      <c r="J88" s="7">
        <f ca="1">+Datos!$M$4*$G$14</f>
        <v>0</v>
      </c>
      <c r="K88" s="2">
        <f ca="1">+Datos!$M$5*'Datos Distribucion'!$G$20</f>
        <v>0.16669859999999992</v>
      </c>
      <c r="L88" s="2"/>
      <c r="M88" s="2"/>
      <c r="O88" t="e" cm="1">
        <f t="array" aca="1" ref="O88" ca="1">+_xlfn.RANK.AVG(A88,espesor,1)</f>
        <v>#N/A</v>
      </c>
      <c r="P88" t="e">
        <f t="shared" ca="1" si="14"/>
        <v>#N/A</v>
      </c>
      <c r="Q88" t="e">
        <f t="shared" ca="1" si="16"/>
        <v>#N/A</v>
      </c>
      <c r="R88" t="str">
        <f t="shared" ca="1" si="15"/>
        <v/>
      </c>
    </row>
    <row r="89" spans="2:18" x14ac:dyDescent="0.3">
      <c r="B89" s="2">
        <f t="shared" si="11"/>
        <v>0</v>
      </c>
      <c r="F89" s="2">
        <f t="shared" ca="1" si="12"/>
        <v>0.64500000000000013</v>
      </c>
      <c r="G89" s="2">
        <f t="shared" ca="1" si="13"/>
        <v>5.0999999999999976E-2</v>
      </c>
      <c r="H89" s="2">
        <f t="shared" ca="1" si="17"/>
        <v>0.50936170212765974</v>
      </c>
      <c r="I89" s="2">
        <f t="shared" ca="1" si="18"/>
        <v>0.78063829787234051</v>
      </c>
      <c r="J89" s="7">
        <f ca="1">+Datos!$M$4*$G$14</f>
        <v>0</v>
      </c>
      <c r="K89" s="2">
        <f ca="1">+Datos!$M$5*'Datos Distribucion'!$G$20</f>
        <v>0.16669859999999992</v>
      </c>
      <c r="L89" s="2"/>
      <c r="M89" s="2"/>
      <c r="O89" t="e" cm="1">
        <f t="array" aca="1" ref="O89" ca="1">+_xlfn.RANK.AVG(A89,espesor,1)</f>
        <v>#N/A</v>
      </c>
      <c r="P89" t="e">
        <f t="shared" ca="1" si="14"/>
        <v>#N/A</v>
      </c>
      <c r="Q89" t="e">
        <f t="shared" ca="1" si="16"/>
        <v>#N/A</v>
      </c>
      <c r="R89" t="str">
        <f t="shared" ca="1" si="15"/>
        <v/>
      </c>
    </row>
    <row r="90" spans="2:18" x14ac:dyDescent="0.3">
      <c r="F90" s="2">
        <f t="shared" ca="1" si="12"/>
        <v>0.64500000000000013</v>
      </c>
      <c r="G90" s="2">
        <f t="shared" ca="1" si="13"/>
        <v>5.0999999999999976E-2</v>
      </c>
      <c r="H90" s="2">
        <f t="shared" ca="1" si="17"/>
        <v>0.50936170212765974</v>
      </c>
      <c r="I90" s="2">
        <f t="shared" ca="1" si="18"/>
        <v>0.78063829787234051</v>
      </c>
      <c r="J90" s="7">
        <f ca="1">+Datos!$M$4*$G$14</f>
        <v>0</v>
      </c>
      <c r="K90" s="2">
        <f ca="1">+Datos!$M$5*'Datos Distribucion'!$G$20</f>
        <v>0.16669859999999992</v>
      </c>
      <c r="L90" s="2"/>
      <c r="M90" s="2"/>
    </row>
    <row r="91" spans="2:18" x14ac:dyDescent="0.3">
      <c r="F91" s="2">
        <f t="shared" ca="1" si="12"/>
        <v>0.64500000000000013</v>
      </c>
      <c r="G91" s="2">
        <f t="shared" ca="1" si="13"/>
        <v>5.0999999999999976E-2</v>
      </c>
      <c r="H91" s="2">
        <f t="shared" ca="1" si="17"/>
        <v>0.50936170212765974</v>
      </c>
      <c r="I91" s="2">
        <f t="shared" ca="1" si="18"/>
        <v>0.78063829787234051</v>
      </c>
      <c r="J91" s="7">
        <f ca="1">+Datos!$M$4*$G$14</f>
        <v>0</v>
      </c>
      <c r="K91" s="2">
        <f ca="1">+Datos!$M$5*'Datos Distribucion'!$G$20</f>
        <v>0.16669859999999992</v>
      </c>
      <c r="L91" s="2"/>
      <c r="M91" s="2"/>
    </row>
    <row r="92" spans="2:18" x14ac:dyDescent="0.3">
      <c r="F92" s="2">
        <f t="shared" ca="1" si="12"/>
        <v>0.64500000000000013</v>
      </c>
      <c r="G92" s="2">
        <f t="shared" ca="1" si="13"/>
        <v>5.0999999999999976E-2</v>
      </c>
      <c r="H92" s="2">
        <f t="shared" ca="1" si="17"/>
        <v>0.50936170212765974</v>
      </c>
      <c r="I92" s="2">
        <f t="shared" ca="1" si="18"/>
        <v>0.78063829787234051</v>
      </c>
      <c r="J92" s="7">
        <f ca="1">+Datos!$M$4*$G$14</f>
        <v>0</v>
      </c>
      <c r="K92" s="2">
        <f ca="1">+Datos!$M$5*'Datos Distribucion'!$G$20</f>
        <v>0.16669859999999992</v>
      </c>
      <c r="L92" s="2"/>
      <c r="M92" s="2"/>
    </row>
    <row r="93" spans="2:18" x14ac:dyDescent="0.3">
      <c r="F93" s="2">
        <f t="shared" ca="1" si="12"/>
        <v>0.64500000000000013</v>
      </c>
      <c r="G93" s="2">
        <f t="shared" ca="1" si="13"/>
        <v>5.0999999999999976E-2</v>
      </c>
      <c r="H93" s="2">
        <f t="shared" ca="1" si="17"/>
        <v>0.50936170212765974</v>
      </c>
      <c r="I93" s="2">
        <f t="shared" ca="1" si="18"/>
        <v>0.78063829787234051</v>
      </c>
      <c r="J93" s="7">
        <f ca="1">+Datos!$M$4*$G$14</f>
        <v>0</v>
      </c>
      <c r="K93" s="2">
        <f ca="1">+Datos!$M$5*'Datos Distribucion'!$G$20</f>
        <v>0.16669859999999992</v>
      </c>
      <c r="L93" s="2"/>
      <c r="M93" s="2"/>
    </row>
    <row r="94" spans="2:18" x14ac:dyDescent="0.3">
      <c r="F94" s="2">
        <f t="shared" ca="1" si="12"/>
        <v>0.64500000000000013</v>
      </c>
      <c r="G94" s="2">
        <f t="shared" ca="1" si="13"/>
        <v>5.0999999999999976E-2</v>
      </c>
      <c r="H94" s="2">
        <f t="shared" ca="1" si="17"/>
        <v>0.50936170212765974</v>
      </c>
      <c r="I94" s="2">
        <f t="shared" ca="1" si="18"/>
        <v>0.78063829787234051</v>
      </c>
      <c r="J94" s="7">
        <f ca="1">+Datos!$M$4*$G$14</f>
        <v>0</v>
      </c>
      <c r="K94" s="2">
        <f ca="1">+Datos!$M$5*'Datos Distribucion'!$G$20</f>
        <v>0.16669859999999992</v>
      </c>
      <c r="L94" s="2"/>
      <c r="M94" s="2"/>
    </row>
    <row r="95" spans="2:18" x14ac:dyDescent="0.3">
      <c r="F95" s="2">
        <f t="shared" ca="1" si="12"/>
        <v>0.64500000000000013</v>
      </c>
      <c r="G95" s="2">
        <f t="shared" ca="1" si="13"/>
        <v>5.0999999999999976E-2</v>
      </c>
      <c r="H95" s="2">
        <f t="shared" ca="1" si="17"/>
        <v>0.50936170212765974</v>
      </c>
      <c r="I95" s="2">
        <f t="shared" ca="1" si="18"/>
        <v>0.78063829787234051</v>
      </c>
      <c r="J95" s="7">
        <f ca="1">+Datos!$M$4*$G$14</f>
        <v>0</v>
      </c>
      <c r="K95" s="2">
        <f ca="1">+Datos!$M$5*'Datos Distribucion'!$G$20</f>
        <v>0.16669859999999992</v>
      </c>
      <c r="L95" s="2"/>
    </row>
    <row r="96" spans="2:18" x14ac:dyDescent="0.3">
      <c r="F96" s="2">
        <f t="shared" ca="1" si="12"/>
        <v>0.64500000000000013</v>
      </c>
      <c r="G96" s="2">
        <f t="shared" ca="1" si="13"/>
        <v>5.0999999999999976E-2</v>
      </c>
      <c r="H96" s="2">
        <f t="shared" ca="1" si="17"/>
        <v>0.50936170212765974</v>
      </c>
      <c r="I96" s="2">
        <f t="shared" ca="1" si="18"/>
        <v>0.78063829787234051</v>
      </c>
      <c r="J96" s="7">
        <f ca="1">+Datos!$M$4*$G$14</f>
        <v>0</v>
      </c>
      <c r="K96" s="2">
        <f ca="1">+Datos!$M$5*'Datos Distribucion'!$G$20</f>
        <v>0.16669859999999992</v>
      </c>
      <c r="L96" s="2"/>
    </row>
    <row r="97" spans="6:12" x14ac:dyDescent="0.3">
      <c r="F97" s="2">
        <f t="shared" ca="1" si="12"/>
        <v>0.64500000000000013</v>
      </c>
      <c r="G97" s="2">
        <f t="shared" ca="1" si="13"/>
        <v>5.0999999999999976E-2</v>
      </c>
      <c r="H97" s="2">
        <f t="shared" ca="1" si="17"/>
        <v>0.50936170212765974</v>
      </c>
      <c r="I97" s="2">
        <f t="shared" ca="1" si="18"/>
        <v>0.78063829787234051</v>
      </c>
      <c r="J97" s="7">
        <f ca="1">+Datos!$M$4*$G$14</f>
        <v>0</v>
      </c>
      <c r="K97" s="2">
        <f ca="1">+Datos!$M$5*'Datos Distribucion'!$G$20</f>
        <v>0.16669859999999992</v>
      </c>
      <c r="L97" s="2"/>
    </row>
    <row r="98" spans="6:12" x14ac:dyDescent="0.3">
      <c r="F98" s="2">
        <f t="shared" ca="1" si="12"/>
        <v>0.64500000000000013</v>
      </c>
      <c r="G98" s="2">
        <f t="shared" ca="1" si="13"/>
        <v>5.0999999999999976E-2</v>
      </c>
      <c r="H98" s="2">
        <f t="shared" ca="1" si="17"/>
        <v>0.50936170212765974</v>
      </c>
      <c r="I98" s="2">
        <f t="shared" ca="1" si="18"/>
        <v>0.78063829787234051</v>
      </c>
      <c r="J98" s="7">
        <f ca="1">+Datos!$M$4*$G$14</f>
        <v>0</v>
      </c>
      <c r="K98" s="2">
        <f ca="1">+Datos!$M$5*'Datos Distribucion'!$G$20</f>
        <v>0.16669859999999992</v>
      </c>
      <c r="L98" s="2"/>
    </row>
    <row r="99" spans="6:12" x14ac:dyDescent="0.3">
      <c r="F99" s="2">
        <f t="shared" ca="1" si="12"/>
        <v>0.64500000000000013</v>
      </c>
      <c r="G99" s="2">
        <f t="shared" ca="1" si="13"/>
        <v>5.0999999999999976E-2</v>
      </c>
      <c r="H99" s="2">
        <f t="shared" ca="1" si="17"/>
        <v>0.50936170212765974</v>
      </c>
      <c r="I99" s="2">
        <f t="shared" ca="1" si="18"/>
        <v>0.78063829787234051</v>
      </c>
      <c r="J99" s="7">
        <f ca="1">+Datos!$M$4*$G$14</f>
        <v>0</v>
      </c>
      <c r="K99" s="2">
        <f ca="1">+Datos!$M$5*'Datos Distribucion'!$G$20</f>
        <v>0.16669859999999992</v>
      </c>
      <c r="L99" s="2"/>
    </row>
    <row r="100" spans="6:12" x14ac:dyDescent="0.3">
      <c r="F100" s="2">
        <f t="shared" ca="1" si="12"/>
        <v>0.64500000000000013</v>
      </c>
      <c r="G100" s="2">
        <f t="shared" ca="1" si="13"/>
        <v>5.0999999999999976E-2</v>
      </c>
      <c r="H100" s="2">
        <f t="shared" ca="1" si="17"/>
        <v>0.50936170212765974</v>
      </c>
      <c r="I100" s="2">
        <f t="shared" ca="1" si="18"/>
        <v>0.78063829787234051</v>
      </c>
      <c r="J100" s="7">
        <f ca="1">+Datos!$M$4*$G$14</f>
        <v>0</v>
      </c>
      <c r="K100" s="2">
        <f ca="1">+Datos!$M$5*'Datos Distribucion'!$G$20</f>
        <v>0.16669859999999992</v>
      </c>
      <c r="L100" s="2"/>
    </row>
    <row r="101" spans="6:12" x14ac:dyDescent="0.3">
      <c r="F101" s="2">
        <f t="shared" ca="1" si="12"/>
        <v>0.64500000000000013</v>
      </c>
      <c r="G101" s="2">
        <f t="shared" ca="1" si="13"/>
        <v>5.0999999999999976E-2</v>
      </c>
      <c r="H101" s="2">
        <f t="shared" ca="1" si="17"/>
        <v>0.50936170212765974</v>
      </c>
      <c r="I101" s="2">
        <f t="shared" ca="1" si="18"/>
        <v>0.78063829787234051</v>
      </c>
      <c r="J101" s="7">
        <f ca="1">+Datos!$M$4*$G$14</f>
        <v>0</v>
      </c>
      <c r="K101" s="2">
        <f ca="1">+Datos!$M$5*'Datos Distribucion'!$G$20</f>
        <v>0.16669859999999992</v>
      </c>
      <c r="L101" s="2"/>
    </row>
    <row r="102" spans="6:12" x14ac:dyDescent="0.3">
      <c r="F102" s="2">
        <f t="shared" ca="1" si="12"/>
        <v>0.64500000000000013</v>
      </c>
      <c r="G102" s="2">
        <f t="shared" ca="1" si="13"/>
        <v>5.0999999999999976E-2</v>
      </c>
      <c r="H102" s="2">
        <f t="shared" ca="1" si="17"/>
        <v>0.50936170212765974</v>
      </c>
      <c r="I102" s="2">
        <f t="shared" ca="1" si="18"/>
        <v>0.78063829787234051</v>
      </c>
      <c r="J102" s="7">
        <f ca="1">+Datos!$M$4*$G$14</f>
        <v>0</v>
      </c>
      <c r="K102" s="2">
        <f ca="1">+Datos!$M$5*'Datos Distribucion'!$G$20</f>
        <v>0.16669859999999992</v>
      </c>
      <c r="L102" s="2"/>
    </row>
    <row r="103" spans="6:12" x14ac:dyDescent="0.3">
      <c r="F103" s="2">
        <f t="shared" ca="1" si="12"/>
        <v>0.64500000000000013</v>
      </c>
      <c r="G103" s="2">
        <f t="shared" ca="1" si="13"/>
        <v>5.0999999999999976E-2</v>
      </c>
      <c r="H103" s="2">
        <f t="shared" ca="1" si="17"/>
        <v>0.50936170212765974</v>
      </c>
      <c r="I103" s="2">
        <f t="shared" ca="1" si="18"/>
        <v>0.78063829787234051</v>
      </c>
      <c r="J103" s="7">
        <f ca="1">+Datos!$M$4*$G$14</f>
        <v>0</v>
      </c>
      <c r="K103" s="2">
        <f ca="1">+Datos!$M$5*'Datos Distribucion'!$G$20</f>
        <v>0.16669859999999992</v>
      </c>
      <c r="L103" s="2"/>
    </row>
    <row r="104" spans="6:12" x14ac:dyDescent="0.3">
      <c r="F104" s="2">
        <f t="shared" ca="1" si="12"/>
        <v>0.64500000000000013</v>
      </c>
      <c r="G104" s="2">
        <f t="shared" ca="1" si="13"/>
        <v>5.0999999999999976E-2</v>
      </c>
      <c r="H104" s="2">
        <f t="shared" ca="1" si="17"/>
        <v>0.50936170212765974</v>
      </c>
      <c r="I104" s="2">
        <f t="shared" ca="1" si="18"/>
        <v>0.78063829787234051</v>
      </c>
      <c r="J104" s="7">
        <f ca="1">+Datos!$M$4*$G$14</f>
        <v>0</v>
      </c>
      <c r="K104" s="2">
        <f ca="1">+Datos!$M$5*'Datos Distribucion'!$G$20</f>
        <v>0.16669859999999992</v>
      </c>
      <c r="L104" s="2"/>
    </row>
    <row r="105" spans="6:12" x14ac:dyDescent="0.3">
      <c r="F105" s="2">
        <f t="shared" ca="1" si="12"/>
        <v>0.64500000000000013</v>
      </c>
      <c r="G105" s="2">
        <f t="shared" ca="1" si="13"/>
        <v>5.0999999999999976E-2</v>
      </c>
      <c r="H105" s="2">
        <f t="shared" ca="1" si="17"/>
        <v>0.50936170212765974</v>
      </c>
      <c r="I105" s="2">
        <f t="shared" ca="1" si="18"/>
        <v>0.78063829787234051</v>
      </c>
      <c r="J105" s="7">
        <f ca="1">+Datos!$M$4*$G$14</f>
        <v>0</v>
      </c>
      <c r="K105" s="2">
        <f ca="1">+Datos!$M$5*'Datos Distribucion'!$G$20</f>
        <v>0.16669859999999992</v>
      </c>
      <c r="L105" s="2"/>
    </row>
    <row r="106" spans="6:12" x14ac:dyDescent="0.3">
      <c r="F106" s="2">
        <f t="shared" ca="1" si="12"/>
        <v>0.64500000000000013</v>
      </c>
      <c r="G106" s="2">
        <f t="shared" ca="1" si="13"/>
        <v>5.0999999999999976E-2</v>
      </c>
      <c r="H106" s="2">
        <f t="shared" ca="1" si="17"/>
        <v>0.50936170212765974</v>
      </c>
      <c r="I106" s="2">
        <f t="shared" ca="1" si="18"/>
        <v>0.78063829787234051</v>
      </c>
      <c r="J106" s="7">
        <f ca="1">+Datos!$M$4*$G$14</f>
        <v>0</v>
      </c>
      <c r="K106" s="2">
        <f ca="1">+Datos!$M$5*'Datos Distribucion'!$G$20</f>
        <v>0.16669859999999992</v>
      </c>
      <c r="L106" s="2"/>
    </row>
    <row r="107" spans="6:12" x14ac:dyDescent="0.3">
      <c r="F107" s="2">
        <f t="shared" ca="1" si="12"/>
        <v>0.64500000000000013</v>
      </c>
      <c r="G107" s="2">
        <f t="shared" ca="1" si="13"/>
        <v>5.0999999999999976E-2</v>
      </c>
      <c r="H107" s="2">
        <f t="shared" ca="1" si="17"/>
        <v>0.50936170212765974</v>
      </c>
      <c r="I107" s="2">
        <f t="shared" ca="1" si="18"/>
        <v>0.78063829787234051</v>
      </c>
      <c r="J107" s="7">
        <f ca="1">+Datos!$M$4*$G$14</f>
        <v>0</v>
      </c>
      <c r="K107" s="2">
        <f ca="1">+Datos!$M$5*'Datos Distribucion'!$G$20</f>
        <v>0.16669859999999992</v>
      </c>
      <c r="L107" s="2"/>
    </row>
    <row r="108" spans="6:12" x14ac:dyDescent="0.3">
      <c r="F108" s="2">
        <f t="shared" ca="1" si="12"/>
        <v>0.64500000000000013</v>
      </c>
      <c r="G108" s="2">
        <f t="shared" ca="1" si="13"/>
        <v>5.0999999999999976E-2</v>
      </c>
      <c r="H108" s="2">
        <f t="shared" ca="1" si="17"/>
        <v>0.50936170212765974</v>
      </c>
      <c r="I108" s="2">
        <f t="shared" ca="1" si="18"/>
        <v>0.78063829787234051</v>
      </c>
      <c r="J108" s="7">
        <f ca="1">+Datos!$M$4*$G$14</f>
        <v>0</v>
      </c>
      <c r="K108" s="2">
        <f ca="1">+Datos!$M$5*'Datos Distribucion'!$G$20</f>
        <v>0.16669859999999992</v>
      </c>
      <c r="L108" s="2"/>
    </row>
    <row r="109" spans="6:12" x14ac:dyDescent="0.3">
      <c r="F109" s="2">
        <f t="shared" ca="1" si="12"/>
        <v>0.64500000000000013</v>
      </c>
      <c r="G109" s="2">
        <f t="shared" ca="1" si="13"/>
        <v>5.0999999999999976E-2</v>
      </c>
      <c r="H109" s="2">
        <f t="shared" ca="1" si="17"/>
        <v>0.50936170212765974</v>
      </c>
      <c r="I109" s="2">
        <f t="shared" ca="1" si="18"/>
        <v>0.78063829787234051</v>
      </c>
      <c r="J109" s="7">
        <f ca="1">+Datos!$M$4*$G$14</f>
        <v>0</v>
      </c>
      <c r="K109" s="2">
        <f ca="1">+Datos!$M$5*'Datos Distribucion'!$G$20</f>
        <v>0.16669859999999992</v>
      </c>
      <c r="L109" s="2"/>
    </row>
    <row r="110" spans="6:12" x14ac:dyDescent="0.3">
      <c r="F110" s="2">
        <f t="shared" ca="1" si="12"/>
        <v>0.64500000000000013</v>
      </c>
      <c r="G110" s="2">
        <f t="shared" ca="1" si="13"/>
        <v>5.0999999999999976E-2</v>
      </c>
      <c r="H110" s="2">
        <f t="shared" ca="1" si="17"/>
        <v>0.50936170212765974</v>
      </c>
      <c r="I110" s="2">
        <f t="shared" ca="1" si="18"/>
        <v>0.78063829787234051</v>
      </c>
      <c r="J110" s="7">
        <f ca="1">+Datos!$M$4*$G$14</f>
        <v>0</v>
      </c>
      <c r="K110" s="2">
        <f ca="1">+Datos!$M$5*'Datos Distribucion'!$G$20</f>
        <v>0.16669859999999992</v>
      </c>
      <c r="L110" s="2"/>
    </row>
    <row r="111" spans="6:12" x14ac:dyDescent="0.3">
      <c r="F111" s="2">
        <f t="shared" ca="1" si="12"/>
        <v>0.64500000000000013</v>
      </c>
      <c r="G111" s="2">
        <f t="shared" ca="1" si="13"/>
        <v>5.0999999999999976E-2</v>
      </c>
      <c r="H111" s="2">
        <f t="shared" ca="1" si="17"/>
        <v>0.50936170212765974</v>
      </c>
      <c r="I111" s="2">
        <f t="shared" ca="1" si="18"/>
        <v>0.78063829787234051</v>
      </c>
      <c r="J111" s="7">
        <f ca="1">+Datos!$M$4*$G$14</f>
        <v>0</v>
      </c>
      <c r="K111" s="2">
        <f ca="1">+Datos!$M$5*'Datos Distribucion'!$G$20</f>
        <v>0.16669859999999992</v>
      </c>
      <c r="L111" s="2"/>
    </row>
    <row r="112" spans="6:12" x14ac:dyDescent="0.3">
      <c r="F112" s="2">
        <f t="shared" ca="1" si="12"/>
        <v>0.64500000000000013</v>
      </c>
      <c r="G112" s="2">
        <f t="shared" ca="1" si="13"/>
        <v>5.0999999999999976E-2</v>
      </c>
      <c r="H112" s="2">
        <f t="shared" ca="1" si="17"/>
        <v>0.50936170212765974</v>
      </c>
      <c r="I112" s="2">
        <f t="shared" ca="1" si="18"/>
        <v>0.78063829787234051</v>
      </c>
      <c r="J112" s="7">
        <f ca="1">+Datos!$M$4*$G$14</f>
        <v>0</v>
      </c>
      <c r="K112" s="2">
        <f ca="1">+Datos!$M$5*'Datos Distribucion'!$G$20</f>
        <v>0.16669859999999992</v>
      </c>
      <c r="L112" s="2"/>
    </row>
    <row r="113" spans="6:12" x14ac:dyDescent="0.3">
      <c r="F113" s="2">
        <f t="shared" ca="1" si="12"/>
        <v>0.64500000000000013</v>
      </c>
      <c r="G113" s="2">
        <f t="shared" ca="1" si="13"/>
        <v>5.0999999999999976E-2</v>
      </c>
      <c r="H113" s="2">
        <f t="shared" ca="1" si="17"/>
        <v>0.50936170212765974</v>
      </c>
      <c r="I113" s="2">
        <f t="shared" ca="1" si="18"/>
        <v>0.78063829787234051</v>
      </c>
      <c r="J113" s="7">
        <f ca="1">+Datos!$M$4*$G$14</f>
        <v>0</v>
      </c>
      <c r="K113" s="2">
        <f ca="1">+Datos!$M$5*'Datos Distribucion'!$G$20</f>
        <v>0.16669859999999992</v>
      </c>
      <c r="L113" s="2"/>
    </row>
    <row r="114" spans="6:12" x14ac:dyDescent="0.3">
      <c r="F114" s="2">
        <f t="shared" ca="1" si="12"/>
        <v>0.64500000000000013</v>
      </c>
      <c r="G114" s="2">
        <f t="shared" ca="1" si="13"/>
        <v>5.0999999999999976E-2</v>
      </c>
      <c r="H114" s="2">
        <f t="shared" ca="1" si="17"/>
        <v>0.50936170212765974</v>
      </c>
      <c r="I114" s="2">
        <f t="shared" ca="1" si="18"/>
        <v>0.78063829787234051</v>
      </c>
      <c r="J114" s="7">
        <f ca="1">+Datos!$M$4*$G$14</f>
        <v>0</v>
      </c>
      <c r="K114" s="2">
        <f ca="1">+Datos!$M$5*'Datos Distribucion'!$G$20</f>
        <v>0.16669859999999992</v>
      </c>
      <c r="L114" s="2"/>
    </row>
    <row r="115" spans="6:12" x14ac:dyDescent="0.3">
      <c r="F115" s="2">
        <f t="shared" ca="1" si="12"/>
        <v>0.64500000000000013</v>
      </c>
      <c r="G115" s="2">
        <f t="shared" ca="1" si="13"/>
        <v>5.0999999999999976E-2</v>
      </c>
      <c r="H115" s="2">
        <f t="shared" ca="1" si="17"/>
        <v>0.50936170212765974</v>
      </c>
      <c r="I115" s="2">
        <f t="shared" ca="1" si="18"/>
        <v>0.78063829787234051</v>
      </c>
      <c r="J115" s="7">
        <f ca="1">+Datos!$M$4*$G$14</f>
        <v>0</v>
      </c>
      <c r="K115" s="2">
        <f ca="1">+Datos!$M$5*'Datos Distribucion'!$G$20</f>
        <v>0.16669859999999992</v>
      </c>
      <c r="L115" s="2"/>
    </row>
    <row r="116" spans="6:12" x14ac:dyDescent="0.3">
      <c r="F116" s="2">
        <f t="shared" ca="1" si="12"/>
        <v>0.64500000000000013</v>
      </c>
      <c r="G116" s="2">
        <f t="shared" ca="1" si="13"/>
        <v>5.0999999999999976E-2</v>
      </c>
      <c r="H116" s="2">
        <f t="shared" ca="1" si="17"/>
        <v>0.50936170212765974</v>
      </c>
      <c r="I116" s="2">
        <f t="shared" ca="1" si="18"/>
        <v>0.78063829787234051</v>
      </c>
      <c r="J116" s="7">
        <f ca="1">+Datos!$M$4*$G$14</f>
        <v>0</v>
      </c>
      <c r="K116" s="2">
        <f ca="1">+Datos!$M$5*'Datos Distribucion'!$G$20</f>
        <v>0.16669859999999992</v>
      </c>
      <c r="L116" s="2"/>
    </row>
    <row r="117" spans="6:12" x14ac:dyDescent="0.3">
      <c r="F117" s="2">
        <f t="shared" ca="1" si="12"/>
        <v>0.64500000000000013</v>
      </c>
      <c r="G117" s="2">
        <f t="shared" ca="1" si="13"/>
        <v>5.0999999999999976E-2</v>
      </c>
      <c r="H117" s="2">
        <f t="shared" ca="1" si="17"/>
        <v>0.50936170212765974</v>
      </c>
      <c r="I117" s="2">
        <f t="shared" ca="1" si="18"/>
        <v>0.78063829787234051</v>
      </c>
      <c r="J117" s="7">
        <f ca="1">+Datos!$M$4*$G$14</f>
        <v>0</v>
      </c>
      <c r="K117" s="2">
        <f ca="1">+Datos!$M$5*'Datos Distribucion'!$G$20</f>
        <v>0.16669859999999992</v>
      </c>
      <c r="L117" s="2"/>
    </row>
    <row r="118" spans="6:12" x14ac:dyDescent="0.3">
      <c r="F118" s="2">
        <f t="shared" ca="1" si="12"/>
        <v>0.64500000000000013</v>
      </c>
      <c r="G118" s="2">
        <f t="shared" ca="1" si="13"/>
        <v>5.0999999999999976E-2</v>
      </c>
      <c r="H118" s="2">
        <f t="shared" ca="1" si="17"/>
        <v>0.50936170212765974</v>
      </c>
      <c r="I118" s="2">
        <f t="shared" ca="1" si="18"/>
        <v>0.78063829787234051</v>
      </c>
      <c r="J118" s="7">
        <f ca="1">+Datos!$M$4*$G$14</f>
        <v>0</v>
      </c>
      <c r="K118" s="2">
        <f ca="1">+Datos!$M$5*'Datos Distribucion'!$G$20</f>
        <v>0.16669859999999992</v>
      </c>
      <c r="L118" s="2"/>
    </row>
    <row r="119" spans="6:12" x14ac:dyDescent="0.3">
      <c r="F119" s="2">
        <f t="shared" ca="1" si="12"/>
        <v>0.64500000000000013</v>
      </c>
      <c r="G119" s="2">
        <f t="shared" ca="1" si="13"/>
        <v>5.0999999999999976E-2</v>
      </c>
      <c r="H119" s="2">
        <f t="shared" ca="1" si="17"/>
        <v>0.50936170212765974</v>
      </c>
      <c r="I119" s="2">
        <f t="shared" ca="1" si="18"/>
        <v>0.78063829787234051</v>
      </c>
      <c r="J119" s="7">
        <f ca="1">+Datos!$M$4*$G$14</f>
        <v>0</v>
      </c>
      <c r="K119" s="2">
        <f ca="1">+Datos!$M$5*'Datos Distribucion'!$G$20</f>
        <v>0.16669859999999992</v>
      </c>
      <c r="L119" s="2"/>
    </row>
    <row r="120" spans="6:12" x14ac:dyDescent="0.3">
      <c r="F120" s="2">
        <f t="shared" ca="1" si="12"/>
        <v>0.64500000000000013</v>
      </c>
      <c r="G120" s="2">
        <f t="shared" ca="1" si="13"/>
        <v>5.0999999999999976E-2</v>
      </c>
      <c r="H120" s="2">
        <f t="shared" ca="1" si="17"/>
        <v>0.50936170212765974</v>
      </c>
      <c r="I120" s="2">
        <f t="shared" ca="1" si="18"/>
        <v>0.78063829787234051</v>
      </c>
      <c r="J120" s="7">
        <f ca="1">+Datos!$M$4*$G$14</f>
        <v>0</v>
      </c>
      <c r="K120" s="2">
        <f ca="1">+Datos!$M$5*'Datos Distribucion'!$G$20</f>
        <v>0.16669859999999992</v>
      </c>
      <c r="L120" s="2"/>
    </row>
    <row r="121" spans="6:12" x14ac:dyDescent="0.3">
      <c r="F121" s="2">
        <f t="shared" ca="1" si="12"/>
        <v>0.64500000000000013</v>
      </c>
      <c r="G121" s="2">
        <f t="shared" ca="1" si="13"/>
        <v>5.0999999999999976E-2</v>
      </c>
      <c r="H121" s="2">
        <f t="shared" ca="1" si="17"/>
        <v>0.50936170212765974</v>
      </c>
      <c r="I121" s="2">
        <f t="shared" ca="1" si="18"/>
        <v>0.78063829787234051</v>
      </c>
      <c r="J121" s="7">
        <f ca="1">+Datos!$M$4*$G$14</f>
        <v>0</v>
      </c>
      <c r="K121" s="2">
        <f ca="1">+Datos!$M$5*'Datos Distribucion'!$G$20</f>
        <v>0.16669859999999992</v>
      </c>
      <c r="L121" s="2"/>
    </row>
    <row r="122" spans="6:12" x14ac:dyDescent="0.3">
      <c r="F122" s="2">
        <f t="shared" ca="1" si="12"/>
        <v>0.64500000000000013</v>
      </c>
      <c r="G122" s="2">
        <f t="shared" ca="1" si="13"/>
        <v>5.0999999999999976E-2</v>
      </c>
      <c r="H122" s="2">
        <f t="shared" ca="1" si="17"/>
        <v>0.50936170212765974</v>
      </c>
      <c r="I122" s="2">
        <f t="shared" ca="1" si="18"/>
        <v>0.78063829787234051</v>
      </c>
      <c r="J122" s="7">
        <f ca="1">+Datos!$M$4*$G$14</f>
        <v>0</v>
      </c>
      <c r="K122" s="2">
        <f ca="1">+Datos!$M$5*'Datos Distribucion'!$G$20</f>
        <v>0.16669859999999992</v>
      </c>
      <c r="L122" s="2"/>
    </row>
    <row r="123" spans="6:12" x14ac:dyDescent="0.3">
      <c r="F123" s="2">
        <f t="shared" ca="1" si="12"/>
        <v>0.64500000000000013</v>
      </c>
      <c r="G123" s="2">
        <f t="shared" ca="1" si="13"/>
        <v>5.0999999999999976E-2</v>
      </c>
      <c r="H123" s="2">
        <f t="shared" ca="1" si="17"/>
        <v>0.50936170212765974</v>
      </c>
      <c r="I123" s="2">
        <f t="shared" ca="1" si="18"/>
        <v>0.78063829787234051</v>
      </c>
      <c r="J123" s="7">
        <f ca="1">+Datos!$M$4*$G$14</f>
        <v>0</v>
      </c>
      <c r="K123" s="2">
        <f ca="1">+Datos!$M$5*'Datos Distribucion'!$G$20</f>
        <v>0.16669859999999992</v>
      </c>
      <c r="L123" s="2"/>
    </row>
    <row r="124" spans="6:12" x14ac:dyDescent="0.3">
      <c r="F124" s="2">
        <f t="shared" ca="1" si="12"/>
        <v>0.64500000000000013</v>
      </c>
      <c r="G124" s="2">
        <f t="shared" ca="1" si="13"/>
        <v>5.0999999999999976E-2</v>
      </c>
      <c r="H124" s="2">
        <f t="shared" ca="1" si="17"/>
        <v>0.50936170212765974</v>
      </c>
      <c r="I124" s="2">
        <f t="shared" ca="1" si="18"/>
        <v>0.78063829787234051</v>
      </c>
      <c r="J124" s="7">
        <f ca="1">+Datos!$M$4*$G$14</f>
        <v>0</v>
      </c>
      <c r="K124" s="2">
        <f ca="1">+Datos!$M$5*'Datos Distribucion'!$G$20</f>
        <v>0.16669859999999992</v>
      </c>
      <c r="L124" s="2"/>
    </row>
    <row r="125" spans="6:12" x14ac:dyDescent="0.3">
      <c r="F125" s="2">
        <f t="shared" ca="1" si="12"/>
        <v>0.64500000000000013</v>
      </c>
      <c r="G125" s="2">
        <f t="shared" ca="1" si="13"/>
        <v>5.0999999999999976E-2</v>
      </c>
      <c r="H125" s="2">
        <f t="shared" ca="1" si="17"/>
        <v>0.50936170212765974</v>
      </c>
      <c r="I125" s="2">
        <f t="shared" ca="1" si="18"/>
        <v>0.78063829787234051</v>
      </c>
      <c r="J125" s="7">
        <f ca="1">+Datos!$M$4*$G$14</f>
        <v>0</v>
      </c>
      <c r="K125" s="2">
        <f ca="1">+Datos!$M$5*'Datos Distribucion'!$G$20</f>
        <v>0.16669859999999992</v>
      </c>
      <c r="L125" s="2"/>
    </row>
    <row r="126" spans="6:12" x14ac:dyDescent="0.3">
      <c r="F126" s="2">
        <f t="shared" ca="1" si="12"/>
        <v>0.64500000000000013</v>
      </c>
      <c r="G126" s="2">
        <f t="shared" ca="1" si="13"/>
        <v>5.0999999999999976E-2</v>
      </c>
      <c r="H126" s="2">
        <f t="shared" ca="1" si="17"/>
        <v>0.50936170212765974</v>
      </c>
      <c r="I126" s="2">
        <f t="shared" ca="1" si="18"/>
        <v>0.78063829787234051</v>
      </c>
      <c r="J126" s="7">
        <f ca="1">+Datos!$M$4*$G$14</f>
        <v>0</v>
      </c>
      <c r="K126" s="2">
        <f ca="1">+Datos!$M$5*'Datos Distribucion'!$G$20</f>
        <v>0.16669859999999992</v>
      </c>
      <c r="L126" s="2"/>
    </row>
    <row r="127" spans="6:12" x14ac:dyDescent="0.3">
      <c r="F127" s="2">
        <f t="shared" ca="1" si="12"/>
        <v>0.64500000000000013</v>
      </c>
      <c r="G127" s="2">
        <f t="shared" ca="1" si="13"/>
        <v>5.0999999999999976E-2</v>
      </c>
      <c r="H127" s="2">
        <f t="shared" ca="1" si="17"/>
        <v>0.50936170212765974</v>
      </c>
      <c r="I127" s="2">
        <f t="shared" ca="1" si="18"/>
        <v>0.78063829787234051</v>
      </c>
      <c r="J127" s="7">
        <f ca="1">+Datos!$M$4*$G$14</f>
        <v>0</v>
      </c>
      <c r="K127" s="2">
        <f ca="1">+Datos!$M$5*'Datos Distribucion'!$G$20</f>
        <v>0.16669859999999992</v>
      </c>
      <c r="L127" s="2"/>
    </row>
    <row r="128" spans="6:12" x14ac:dyDescent="0.3">
      <c r="F128" s="2">
        <f t="shared" ca="1" si="12"/>
        <v>0.64500000000000013</v>
      </c>
      <c r="G128" s="2">
        <f t="shared" ca="1" si="13"/>
        <v>5.0999999999999976E-2</v>
      </c>
      <c r="H128" s="2">
        <f t="shared" ca="1" si="17"/>
        <v>0.50936170212765974</v>
      </c>
      <c r="I128" s="2">
        <f t="shared" ca="1" si="18"/>
        <v>0.78063829787234051</v>
      </c>
      <c r="J128" s="7">
        <f ca="1">+Datos!$M$4*$G$14</f>
        <v>0</v>
      </c>
      <c r="K128" s="2">
        <f ca="1">+Datos!$M$5*'Datos Distribucion'!$G$20</f>
        <v>0.16669859999999992</v>
      </c>
      <c r="L128" s="2"/>
    </row>
    <row r="129" spans="6:12" x14ac:dyDescent="0.3">
      <c r="F129" s="2">
        <f t="shared" ref="F129:F192" ca="1" si="19">+AVERAGE(espesor)</f>
        <v>0.64500000000000013</v>
      </c>
      <c r="G129" s="2">
        <f t="shared" ref="G129:G192" ca="1" si="20">+AVERAGE(rango_movil)</f>
        <v>5.0999999999999976E-2</v>
      </c>
      <c r="H129" s="2">
        <f t="shared" ca="1" si="17"/>
        <v>0.50936170212765974</v>
      </c>
      <c r="I129" s="2">
        <f t="shared" ca="1" si="18"/>
        <v>0.78063829787234051</v>
      </c>
      <c r="J129" s="7">
        <f ca="1">+Datos!$M$4*$G$14</f>
        <v>0</v>
      </c>
      <c r="K129" s="2">
        <f ca="1">+Datos!$M$5*'Datos Distribucion'!$G$20</f>
        <v>0.16669859999999992</v>
      </c>
      <c r="L129" s="2"/>
    </row>
    <row r="130" spans="6:12" x14ac:dyDescent="0.3">
      <c r="F130" s="2">
        <f t="shared" ca="1" si="19"/>
        <v>0.64500000000000013</v>
      </c>
      <c r="G130" s="2">
        <f t="shared" ca="1" si="20"/>
        <v>5.0999999999999976E-2</v>
      </c>
      <c r="H130" s="2">
        <f t="shared" ca="1" si="17"/>
        <v>0.50936170212765974</v>
      </c>
      <c r="I130" s="2">
        <f t="shared" ca="1" si="18"/>
        <v>0.78063829787234051</v>
      </c>
      <c r="J130" s="7">
        <f ca="1">+Datos!$M$4*$G$14</f>
        <v>0</v>
      </c>
      <c r="K130" s="2">
        <f ca="1">+Datos!$M$5*'Datos Distribucion'!$G$20</f>
        <v>0.16669859999999992</v>
      </c>
      <c r="L130" s="2"/>
    </row>
    <row r="131" spans="6:12" x14ac:dyDescent="0.3">
      <c r="F131" s="2">
        <f t="shared" ca="1" si="19"/>
        <v>0.64500000000000013</v>
      </c>
      <c r="G131" s="2">
        <f t="shared" ca="1" si="20"/>
        <v>5.0999999999999976E-2</v>
      </c>
      <c r="H131" s="2">
        <f t="shared" ref="H131:H194" ca="1" si="21">+$F$2-(3*$G$1/1.128)</f>
        <v>0.50936170212765974</v>
      </c>
      <c r="I131" s="2">
        <f t="shared" ref="I131:I194" ca="1" si="22">+$F$2+(3*$G$1/1.128)</f>
        <v>0.78063829787234051</v>
      </c>
      <c r="J131" s="7">
        <f ca="1">+Datos!$M$4*$G$14</f>
        <v>0</v>
      </c>
      <c r="K131" s="2">
        <f ca="1">+Datos!$M$5*'Datos Distribucion'!$G$20</f>
        <v>0.16669859999999992</v>
      </c>
      <c r="L131" s="2"/>
    </row>
    <row r="132" spans="6:12" x14ac:dyDescent="0.3">
      <c r="F132" s="2">
        <f t="shared" ca="1" si="19"/>
        <v>0.64500000000000013</v>
      </c>
      <c r="G132" s="2">
        <f t="shared" ca="1" si="20"/>
        <v>5.0999999999999976E-2</v>
      </c>
      <c r="H132" s="2">
        <f t="shared" ca="1" si="21"/>
        <v>0.50936170212765974</v>
      </c>
      <c r="I132" s="2">
        <f t="shared" ca="1" si="22"/>
        <v>0.78063829787234051</v>
      </c>
      <c r="J132" s="7">
        <f ca="1">+Datos!$M$4*$G$14</f>
        <v>0</v>
      </c>
      <c r="K132" s="2">
        <f ca="1">+Datos!$M$5*'Datos Distribucion'!$G$20</f>
        <v>0.16669859999999992</v>
      </c>
      <c r="L132" s="2"/>
    </row>
    <row r="133" spans="6:12" x14ac:dyDescent="0.3">
      <c r="F133" s="2">
        <f t="shared" ca="1" si="19"/>
        <v>0.64500000000000013</v>
      </c>
      <c r="G133" s="2">
        <f t="shared" ca="1" si="20"/>
        <v>5.0999999999999976E-2</v>
      </c>
      <c r="H133" s="2">
        <f t="shared" ca="1" si="21"/>
        <v>0.50936170212765974</v>
      </c>
      <c r="I133" s="2">
        <f t="shared" ca="1" si="22"/>
        <v>0.78063829787234051</v>
      </c>
      <c r="J133" s="7">
        <f ca="1">+Datos!$M$4*$G$14</f>
        <v>0</v>
      </c>
      <c r="K133" s="2">
        <f ca="1">+Datos!$M$5*'Datos Distribucion'!$G$20</f>
        <v>0.16669859999999992</v>
      </c>
      <c r="L133" s="2"/>
    </row>
    <row r="134" spans="6:12" x14ac:dyDescent="0.3">
      <c r="F134" s="2">
        <f t="shared" ca="1" si="19"/>
        <v>0.64500000000000013</v>
      </c>
      <c r="G134" s="2">
        <f t="shared" ca="1" si="20"/>
        <v>5.0999999999999976E-2</v>
      </c>
      <c r="H134" s="2">
        <f t="shared" ca="1" si="21"/>
        <v>0.50936170212765974</v>
      </c>
      <c r="I134" s="2">
        <f t="shared" ca="1" si="22"/>
        <v>0.78063829787234051</v>
      </c>
      <c r="J134" s="7">
        <f ca="1">+Datos!$M$4*$G$14</f>
        <v>0</v>
      </c>
      <c r="K134" s="2">
        <f ca="1">+Datos!$M$5*'Datos Distribucion'!$G$20</f>
        <v>0.16669859999999992</v>
      </c>
      <c r="L134" s="2"/>
    </row>
    <row r="135" spans="6:12" x14ac:dyDescent="0.3">
      <c r="F135" s="2">
        <f t="shared" ca="1" si="19"/>
        <v>0.64500000000000013</v>
      </c>
      <c r="G135" s="2">
        <f t="shared" ca="1" si="20"/>
        <v>5.0999999999999976E-2</v>
      </c>
      <c r="H135" s="2">
        <f t="shared" ca="1" si="21"/>
        <v>0.50936170212765974</v>
      </c>
      <c r="I135" s="2">
        <f t="shared" ca="1" si="22"/>
        <v>0.78063829787234051</v>
      </c>
      <c r="J135" s="7">
        <f ca="1">+Datos!$M$4*$G$14</f>
        <v>0</v>
      </c>
      <c r="K135" s="2">
        <f ca="1">+Datos!$M$5*'Datos Distribucion'!$G$20</f>
        <v>0.16669859999999992</v>
      </c>
      <c r="L135" s="2"/>
    </row>
    <row r="136" spans="6:12" x14ac:dyDescent="0.3">
      <c r="F136" s="2">
        <f t="shared" ca="1" si="19"/>
        <v>0.64500000000000013</v>
      </c>
      <c r="G136" s="2">
        <f t="shared" ca="1" si="20"/>
        <v>5.0999999999999976E-2</v>
      </c>
      <c r="H136" s="2">
        <f t="shared" ca="1" si="21"/>
        <v>0.50936170212765974</v>
      </c>
      <c r="I136" s="2">
        <f t="shared" ca="1" si="22"/>
        <v>0.78063829787234051</v>
      </c>
      <c r="J136" s="7">
        <f ca="1">+Datos!$M$4*$G$14</f>
        <v>0</v>
      </c>
      <c r="K136" s="2">
        <f ca="1">+Datos!$M$5*'Datos Distribucion'!$G$20</f>
        <v>0.16669859999999992</v>
      </c>
      <c r="L136" s="2"/>
    </row>
    <row r="137" spans="6:12" x14ac:dyDescent="0.3">
      <c r="F137" s="2">
        <f t="shared" ca="1" si="19"/>
        <v>0.64500000000000013</v>
      </c>
      <c r="G137" s="2">
        <f t="shared" ca="1" si="20"/>
        <v>5.0999999999999976E-2</v>
      </c>
      <c r="H137" s="2">
        <f t="shared" ca="1" si="21"/>
        <v>0.50936170212765974</v>
      </c>
      <c r="I137" s="2">
        <f t="shared" ca="1" si="22"/>
        <v>0.78063829787234051</v>
      </c>
      <c r="J137" s="7">
        <f ca="1">+Datos!$M$4*$G$14</f>
        <v>0</v>
      </c>
      <c r="K137" s="2">
        <f ca="1">+Datos!$M$5*'Datos Distribucion'!$G$20</f>
        <v>0.16669859999999992</v>
      </c>
      <c r="L137" s="2"/>
    </row>
    <row r="138" spans="6:12" x14ac:dyDescent="0.3">
      <c r="F138" s="2">
        <f t="shared" ca="1" si="19"/>
        <v>0.64500000000000013</v>
      </c>
      <c r="G138" s="2">
        <f t="shared" ca="1" si="20"/>
        <v>5.0999999999999976E-2</v>
      </c>
      <c r="H138" s="2">
        <f t="shared" ca="1" si="21"/>
        <v>0.50936170212765974</v>
      </c>
      <c r="I138" s="2">
        <f t="shared" ca="1" si="22"/>
        <v>0.78063829787234051</v>
      </c>
      <c r="J138" s="7">
        <f ca="1">+Datos!$M$4*$G$14</f>
        <v>0</v>
      </c>
      <c r="K138" s="2">
        <f ca="1">+Datos!$M$5*'Datos Distribucion'!$G$20</f>
        <v>0.16669859999999992</v>
      </c>
      <c r="L138" s="2"/>
    </row>
    <row r="139" spans="6:12" x14ac:dyDescent="0.3">
      <c r="F139" s="2">
        <f t="shared" ca="1" si="19"/>
        <v>0.64500000000000013</v>
      </c>
      <c r="G139" s="2">
        <f t="shared" ca="1" si="20"/>
        <v>5.0999999999999976E-2</v>
      </c>
      <c r="H139" s="2">
        <f t="shared" ca="1" si="21"/>
        <v>0.50936170212765974</v>
      </c>
      <c r="I139" s="2">
        <f t="shared" ca="1" si="22"/>
        <v>0.78063829787234051</v>
      </c>
      <c r="J139" s="7">
        <f ca="1">+Datos!$M$4*$G$14</f>
        <v>0</v>
      </c>
      <c r="K139" s="2">
        <f ca="1">+Datos!$M$5*'Datos Distribucion'!$G$20</f>
        <v>0.16669859999999992</v>
      </c>
      <c r="L139" s="2"/>
    </row>
    <row r="140" spans="6:12" x14ac:dyDescent="0.3">
      <c r="F140" s="2">
        <f t="shared" ca="1" si="19"/>
        <v>0.64500000000000013</v>
      </c>
      <c r="G140" s="2">
        <f t="shared" ca="1" si="20"/>
        <v>5.0999999999999976E-2</v>
      </c>
      <c r="H140" s="2">
        <f t="shared" ca="1" si="21"/>
        <v>0.50936170212765974</v>
      </c>
      <c r="I140" s="2">
        <f t="shared" ca="1" si="22"/>
        <v>0.78063829787234051</v>
      </c>
      <c r="J140" s="7">
        <f ca="1">+Datos!$M$4*$G$14</f>
        <v>0</v>
      </c>
      <c r="K140" s="2">
        <f ca="1">+Datos!$M$5*'Datos Distribucion'!$G$20</f>
        <v>0.16669859999999992</v>
      </c>
      <c r="L140" s="2"/>
    </row>
    <row r="141" spans="6:12" x14ac:dyDescent="0.3">
      <c r="F141" s="2">
        <f t="shared" ca="1" si="19"/>
        <v>0.64500000000000013</v>
      </c>
      <c r="G141" s="2">
        <f t="shared" ca="1" si="20"/>
        <v>5.0999999999999976E-2</v>
      </c>
      <c r="H141" s="2">
        <f t="shared" ca="1" si="21"/>
        <v>0.50936170212765974</v>
      </c>
      <c r="I141" s="2">
        <f t="shared" ca="1" si="22"/>
        <v>0.78063829787234051</v>
      </c>
      <c r="J141" s="7">
        <f ca="1">+Datos!$M$4*$G$14</f>
        <v>0</v>
      </c>
      <c r="K141" s="2">
        <f ca="1">+Datos!$M$5*'Datos Distribucion'!$G$20</f>
        <v>0.16669859999999992</v>
      </c>
      <c r="L141" s="2"/>
    </row>
    <row r="142" spans="6:12" x14ac:dyDescent="0.3">
      <c r="F142" s="2">
        <f t="shared" ca="1" si="19"/>
        <v>0.64500000000000013</v>
      </c>
      <c r="G142" s="2">
        <f t="shared" ca="1" si="20"/>
        <v>5.0999999999999976E-2</v>
      </c>
      <c r="H142" s="2">
        <f t="shared" ca="1" si="21"/>
        <v>0.50936170212765974</v>
      </c>
      <c r="I142" s="2">
        <f t="shared" ca="1" si="22"/>
        <v>0.78063829787234051</v>
      </c>
      <c r="J142" s="7">
        <f ca="1">+Datos!$M$4*$G$14</f>
        <v>0</v>
      </c>
      <c r="K142" s="2">
        <f ca="1">+Datos!$M$5*'Datos Distribucion'!$G$20</f>
        <v>0.16669859999999992</v>
      </c>
      <c r="L142" s="2"/>
    </row>
    <row r="143" spans="6:12" x14ac:dyDescent="0.3">
      <c r="F143" s="2">
        <f t="shared" ca="1" si="19"/>
        <v>0.64500000000000013</v>
      </c>
      <c r="G143" s="2">
        <f t="shared" ca="1" si="20"/>
        <v>5.0999999999999976E-2</v>
      </c>
      <c r="H143" s="2">
        <f t="shared" ca="1" si="21"/>
        <v>0.50936170212765974</v>
      </c>
      <c r="I143" s="2">
        <f t="shared" ca="1" si="22"/>
        <v>0.78063829787234051</v>
      </c>
      <c r="J143" s="7">
        <f ca="1">+Datos!$M$4*$G$14</f>
        <v>0</v>
      </c>
      <c r="K143" s="2">
        <f ca="1">+Datos!$M$5*'Datos Distribucion'!$G$20</f>
        <v>0.16669859999999992</v>
      </c>
      <c r="L143" s="2"/>
    </row>
    <row r="144" spans="6:12" x14ac:dyDescent="0.3">
      <c r="F144" s="2">
        <f t="shared" ca="1" si="19"/>
        <v>0.64500000000000013</v>
      </c>
      <c r="G144" s="2">
        <f t="shared" ca="1" si="20"/>
        <v>5.0999999999999976E-2</v>
      </c>
      <c r="H144" s="2">
        <f t="shared" ca="1" si="21"/>
        <v>0.50936170212765974</v>
      </c>
      <c r="I144" s="2">
        <f t="shared" ca="1" si="22"/>
        <v>0.78063829787234051</v>
      </c>
      <c r="J144" s="7">
        <f ca="1">+Datos!$M$4*$G$14</f>
        <v>0</v>
      </c>
      <c r="K144" s="2">
        <f ca="1">+Datos!$M$5*'Datos Distribucion'!$G$20</f>
        <v>0.16669859999999992</v>
      </c>
      <c r="L144" s="2"/>
    </row>
    <row r="145" spans="6:12" x14ac:dyDescent="0.3">
      <c r="F145" s="2">
        <f t="shared" ca="1" si="19"/>
        <v>0.64500000000000013</v>
      </c>
      <c r="G145" s="2">
        <f t="shared" ca="1" si="20"/>
        <v>5.0999999999999976E-2</v>
      </c>
      <c r="H145" s="2">
        <f t="shared" ca="1" si="21"/>
        <v>0.50936170212765974</v>
      </c>
      <c r="I145" s="2">
        <f t="shared" ca="1" si="22"/>
        <v>0.78063829787234051</v>
      </c>
      <c r="J145" s="7">
        <f ca="1">+Datos!$M$4*$G$14</f>
        <v>0</v>
      </c>
      <c r="K145" s="2">
        <f ca="1">+Datos!$M$5*'Datos Distribucion'!$G$20</f>
        <v>0.16669859999999992</v>
      </c>
      <c r="L145" s="2"/>
    </row>
    <row r="146" spans="6:12" x14ac:dyDescent="0.3">
      <c r="F146" s="2">
        <f t="shared" ca="1" si="19"/>
        <v>0.64500000000000013</v>
      </c>
      <c r="G146" s="2">
        <f t="shared" ca="1" si="20"/>
        <v>5.0999999999999976E-2</v>
      </c>
      <c r="H146" s="2">
        <f t="shared" ca="1" si="21"/>
        <v>0.50936170212765974</v>
      </c>
      <c r="I146" s="2">
        <f t="shared" ca="1" si="22"/>
        <v>0.78063829787234051</v>
      </c>
      <c r="J146" s="7">
        <f ca="1">+Datos!$M$4*$G$14</f>
        <v>0</v>
      </c>
      <c r="K146" s="2">
        <f ca="1">+Datos!$M$5*'Datos Distribucion'!$G$20</f>
        <v>0.16669859999999992</v>
      </c>
      <c r="L146" s="2"/>
    </row>
    <row r="147" spans="6:12" x14ac:dyDescent="0.3">
      <c r="F147" s="2">
        <f t="shared" ca="1" si="19"/>
        <v>0.64500000000000013</v>
      </c>
      <c r="G147" s="2">
        <f t="shared" ca="1" si="20"/>
        <v>5.0999999999999976E-2</v>
      </c>
      <c r="H147" s="2">
        <f t="shared" ca="1" si="21"/>
        <v>0.50936170212765974</v>
      </c>
      <c r="I147" s="2">
        <f t="shared" ca="1" si="22"/>
        <v>0.78063829787234051</v>
      </c>
      <c r="J147" s="7">
        <f ca="1">+Datos!$M$4*$G$14</f>
        <v>0</v>
      </c>
      <c r="K147" s="2">
        <f ca="1">+Datos!$M$5*'Datos Distribucion'!$G$20</f>
        <v>0.16669859999999992</v>
      </c>
      <c r="L147" s="2"/>
    </row>
    <row r="148" spans="6:12" x14ac:dyDescent="0.3">
      <c r="F148" s="2">
        <f t="shared" ca="1" si="19"/>
        <v>0.64500000000000013</v>
      </c>
      <c r="G148" s="2">
        <f t="shared" ca="1" si="20"/>
        <v>5.0999999999999976E-2</v>
      </c>
      <c r="H148" s="2">
        <f t="shared" ca="1" si="21"/>
        <v>0.50936170212765974</v>
      </c>
      <c r="I148" s="2">
        <f t="shared" ca="1" si="22"/>
        <v>0.78063829787234051</v>
      </c>
      <c r="J148" s="7">
        <f ca="1">+Datos!$M$4*$G$14</f>
        <v>0</v>
      </c>
      <c r="K148" s="2">
        <f ca="1">+Datos!$M$5*'Datos Distribucion'!$G$20</f>
        <v>0.16669859999999992</v>
      </c>
      <c r="L148" s="2"/>
    </row>
    <row r="149" spans="6:12" x14ac:dyDescent="0.3">
      <c r="F149" s="2">
        <f t="shared" ca="1" si="19"/>
        <v>0.64500000000000013</v>
      </c>
      <c r="G149" s="2">
        <f t="shared" ca="1" si="20"/>
        <v>5.0999999999999976E-2</v>
      </c>
      <c r="H149" s="2">
        <f t="shared" ca="1" si="21"/>
        <v>0.50936170212765974</v>
      </c>
      <c r="I149" s="2">
        <f t="shared" ca="1" si="22"/>
        <v>0.78063829787234051</v>
      </c>
      <c r="J149" s="7">
        <f ca="1">+Datos!$M$4*$G$14</f>
        <v>0</v>
      </c>
      <c r="K149" s="2">
        <f ca="1">+Datos!$M$5*'Datos Distribucion'!$G$20</f>
        <v>0.16669859999999992</v>
      </c>
      <c r="L149" s="2"/>
    </row>
    <row r="150" spans="6:12" x14ac:dyDescent="0.3">
      <c r="F150" s="2">
        <f t="shared" ca="1" si="19"/>
        <v>0.64500000000000013</v>
      </c>
      <c r="G150" s="2">
        <f t="shared" ca="1" si="20"/>
        <v>5.0999999999999976E-2</v>
      </c>
      <c r="H150" s="2">
        <f t="shared" ca="1" si="21"/>
        <v>0.50936170212765974</v>
      </c>
      <c r="I150" s="2">
        <f t="shared" ca="1" si="22"/>
        <v>0.78063829787234051</v>
      </c>
      <c r="J150" s="7">
        <f ca="1">+Datos!$M$4*$G$14</f>
        <v>0</v>
      </c>
      <c r="K150" s="2">
        <f ca="1">+Datos!$M$5*'Datos Distribucion'!$G$20</f>
        <v>0.16669859999999992</v>
      </c>
      <c r="L150" s="2"/>
    </row>
    <row r="151" spans="6:12" x14ac:dyDescent="0.3">
      <c r="F151" s="2">
        <f t="shared" ca="1" si="19"/>
        <v>0.64500000000000013</v>
      </c>
      <c r="G151" s="2">
        <f t="shared" ca="1" si="20"/>
        <v>5.0999999999999976E-2</v>
      </c>
      <c r="H151" s="2">
        <f t="shared" ca="1" si="21"/>
        <v>0.50936170212765974</v>
      </c>
      <c r="I151" s="2">
        <f t="shared" ca="1" si="22"/>
        <v>0.78063829787234051</v>
      </c>
      <c r="J151" s="7">
        <f ca="1">+Datos!$M$4*$G$14</f>
        <v>0</v>
      </c>
      <c r="K151" s="2">
        <f ca="1">+Datos!$M$5*'Datos Distribucion'!$G$20</f>
        <v>0.16669859999999992</v>
      </c>
      <c r="L151" s="2"/>
    </row>
    <row r="152" spans="6:12" x14ac:dyDescent="0.3">
      <c r="F152" s="2">
        <f t="shared" ca="1" si="19"/>
        <v>0.64500000000000013</v>
      </c>
      <c r="G152" s="2">
        <f t="shared" ca="1" si="20"/>
        <v>5.0999999999999976E-2</v>
      </c>
      <c r="H152" s="2">
        <f t="shared" ca="1" si="21"/>
        <v>0.50936170212765974</v>
      </c>
      <c r="I152" s="2">
        <f t="shared" ca="1" si="22"/>
        <v>0.78063829787234051</v>
      </c>
      <c r="J152" s="7">
        <f ca="1">+Datos!$M$4*$G$14</f>
        <v>0</v>
      </c>
      <c r="K152" s="2">
        <f ca="1">+Datos!$M$5*'Datos Distribucion'!$G$20</f>
        <v>0.16669859999999992</v>
      </c>
      <c r="L152" s="2"/>
    </row>
    <row r="153" spans="6:12" x14ac:dyDescent="0.3">
      <c r="F153" s="2">
        <f t="shared" ca="1" si="19"/>
        <v>0.64500000000000013</v>
      </c>
      <c r="G153" s="2">
        <f t="shared" ca="1" si="20"/>
        <v>5.0999999999999976E-2</v>
      </c>
      <c r="H153" s="2">
        <f t="shared" ca="1" si="21"/>
        <v>0.50936170212765974</v>
      </c>
      <c r="I153" s="2">
        <f t="shared" ca="1" si="22"/>
        <v>0.78063829787234051</v>
      </c>
      <c r="J153" s="7">
        <f ca="1">+Datos!$M$4*$G$14</f>
        <v>0</v>
      </c>
      <c r="K153" s="2">
        <f ca="1">+Datos!$M$5*'Datos Distribucion'!$G$20</f>
        <v>0.16669859999999992</v>
      </c>
      <c r="L153" s="2"/>
    </row>
    <row r="154" spans="6:12" x14ac:dyDescent="0.3">
      <c r="F154" s="2">
        <f t="shared" ca="1" si="19"/>
        <v>0.64500000000000013</v>
      </c>
      <c r="G154" s="2">
        <f t="shared" ca="1" si="20"/>
        <v>5.0999999999999976E-2</v>
      </c>
      <c r="H154" s="2">
        <f t="shared" ca="1" si="21"/>
        <v>0.50936170212765974</v>
      </c>
      <c r="I154" s="2">
        <f t="shared" ca="1" si="22"/>
        <v>0.78063829787234051</v>
      </c>
      <c r="J154" s="7">
        <f ca="1">+Datos!$M$4*$G$14</f>
        <v>0</v>
      </c>
      <c r="K154" s="2">
        <f ca="1">+Datos!$M$5*'Datos Distribucion'!$G$20</f>
        <v>0.16669859999999992</v>
      </c>
      <c r="L154" s="2"/>
    </row>
    <row r="155" spans="6:12" x14ac:dyDescent="0.3">
      <c r="F155" s="2">
        <f t="shared" ca="1" si="19"/>
        <v>0.64500000000000013</v>
      </c>
      <c r="G155" s="2">
        <f t="shared" ca="1" si="20"/>
        <v>5.0999999999999976E-2</v>
      </c>
      <c r="H155" s="2">
        <f t="shared" ca="1" si="21"/>
        <v>0.50936170212765974</v>
      </c>
      <c r="I155" s="2">
        <f t="shared" ca="1" si="22"/>
        <v>0.78063829787234051</v>
      </c>
      <c r="J155" s="7">
        <f ca="1">+Datos!$M$4*$G$14</f>
        <v>0</v>
      </c>
      <c r="K155" s="2">
        <f ca="1">+Datos!$M$5*'Datos Distribucion'!$G$20</f>
        <v>0.16669859999999992</v>
      </c>
      <c r="L155" s="2"/>
    </row>
    <row r="156" spans="6:12" x14ac:dyDescent="0.3">
      <c r="F156" s="2">
        <f t="shared" ca="1" si="19"/>
        <v>0.64500000000000013</v>
      </c>
      <c r="G156" s="2">
        <f t="shared" ca="1" si="20"/>
        <v>5.0999999999999976E-2</v>
      </c>
      <c r="H156" s="2">
        <f t="shared" ca="1" si="21"/>
        <v>0.50936170212765974</v>
      </c>
      <c r="I156" s="2">
        <f t="shared" ca="1" si="22"/>
        <v>0.78063829787234051</v>
      </c>
      <c r="J156" s="7">
        <f ca="1">+Datos!$M$4*$G$14</f>
        <v>0</v>
      </c>
      <c r="K156" s="2">
        <f ca="1">+Datos!$M$5*'Datos Distribucion'!$G$20</f>
        <v>0.16669859999999992</v>
      </c>
      <c r="L156" s="2"/>
    </row>
    <row r="157" spans="6:12" x14ac:dyDescent="0.3">
      <c r="F157" s="2">
        <f t="shared" ca="1" si="19"/>
        <v>0.64500000000000013</v>
      </c>
      <c r="G157" s="2">
        <f t="shared" ca="1" si="20"/>
        <v>5.0999999999999976E-2</v>
      </c>
      <c r="H157" s="2">
        <f t="shared" ca="1" si="21"/>
        <v>0.50936170212765974</v>
      </c>
      <c r="I157" s="2">
        <f t="shared" ca="1" si="22"/>
        <v>0.78063829787234051</v>
      </c>
      <c r="J157" s="7">
        <f ca="1">+Datos!$M$4*$G$14</f>
        <v>0</v>
      </c>
      <c r="K157" s="2">
        <f ca="1">+Datos!$M$5*'Datos Distribucion'!$G$20</f>
        <v>0.16669859999999992</v>
      </c>
      <c r="L157" s="2"/>
    </row>
    <row r="158" spans="6:12" x14ac:dyDescent="0.3">
      <c r="F158" s="2">
        <f t="shared" ca="1" si="19"/>
        <v>0.64500000000000013</v>
      </c>
      <c r="G158" s="2">
        <f t="shared" ca="1" si="20"/>
        <v>5.0999999999999976E-2</v>
      </c>
      <c r="H158" s="2">
        <f t="shared" ca="1" si="21"/>
        <v>0.50936170212765974</v>
      </c>
      <c r="I158" s="2">
        <f t="shared" ca="1" si="22"/>
        <v>0.78063829787234051</v>
      </c>
      <c r="J158" s="7">
        <f ca="1">+Datos!$M$4*$G$14</f>
        <v>0</v>
      </c>
      <c r="K158" s="2">
        <f ca="1">+Datos!$M$5*'Datos Distribucion'!$G$20</f>
        <v>0.16669859999999992</v>
      </c>
      <c r="L158" s="2"/>
    </row>
    <row r="159" spans="6:12" x14ac:dyDescent="0.3">
      <c r="F159" s="2">
        <f t="shared" ca="1" si="19"/>
        <v>0.64500000000000013</v>
      </c>
      <c r="G159" s="2">
        <f t="shared" ca="1" si="20"/>
        <v>5.0999999999999976E-2</v>
      </c>
      <c r="H159" s="2">
        <f t="shared" ca="1" si="21"/>
        <v>0.50936170212765974</v>
      </c>
      <c r="I159" s="2">
        <f t="shared" ca="1" si="22"/>
        <v>0.78063829787234051</v>
      </c>
      <c r="J159" s="7">
        <f ca="1">+Datos!$M$4*$G$14</f>
        <v>0</v>
      </c>
      <c r="K159" s="2">
        <f ca="1">+Datos!$M$5*'Datos Distribucion'!$G$20</f>
        <v>0.16669859999999992</v>
      </c>
      <c r="L159" s="2"/>
    </row>
    <row r="160" spans="6:12" x14ac:dyDescent="0.3">
      <c r="F160" s="2">
        <f t="shared" ca="1" si="19"/>
        <v>0.64500000000000013</v>
      </c>
      <c r="G160" s="2">
        <f t="shared" ca="1" si="20"/>
        <v>5.0999999999999976E-2</v>
      </c>
      <c r="H160" s="2">
        <f t="shared" ca="1" si="21"/>
        <v>0.50936170212765974</v>
      </c>
      <c r="I160" s="2">
        <f t="shared" ca="1" si="22"/>
        <v>0.78063829787234051</v>
      </c>
      <c r="J160" s="7">
        <f ca="1">+Datos!$M$4*$G$14</f>
        <v>0</v>
      </c>
      <c r="K160" s="2">
        <f ca="1">+Datos!$M$5*'Datos Distribucion'!$G$20</f>
        <v>0.16669859999999992</v>
      </c>
      <c r="L160" s="2"/>
    </row>
    <row r="161" spans="6:12" x14ac:dyDescent="0.3">
      <c r="F161" s="2">
        <f t="shared" ca="1" si="19"/>
        <v>0.64500000000000013</v>
      </c>
      <c r="G161" s="2">
        <f t="shared" ca="1" si="20"/>
        <v>5.0999999999999976E-2</v>
      </c>
      <c r="H161" s="2">
        <f t="shared" ca="1" si="21"/>
        <v>0.50936170212765974</v>
      </c>
      <c r="I161" s="2">
        <f t="shared" ca="1" si="22"/>
        <v>0.78063829787234051</v>
      </c>
      <c r="J161" s="7">
        <f ca="1">+Datos!$M$4*$G$14</f>
        <v>0</v>
      </c>
      <c r="K161" s="2">
        <f ca="1">+Datos!$M$5*'Datos Distribucion'!$G$20</f>
        <v>0.16669859999999992</v>
      </c>
      <c r="L161" s="2"/>
    </row>
    <row r="162" spans="6:12" x14ac:dyDescent="0.3">
      <c r="F162" s="2">
        <f t="shared" ca="1" si="19"/>
        <v>0.64500000000000013</v>
      </c>
      <c r="G162" s="2">
        <f t="shared" ca="1" si="20"/>
        <v>5.0999999999999976E-2</v>
      </c>
      <c r="H162" s="2">
        <f t="shared" ca="1" si="21"/>
        <v>0.50936170212765974</v>
      </c>
      <c r="I162" s="2">
        <f t="shared" ca="1" si="22"/>
        <v>0.78063829787234051</v>
      </c>
      <c r="J162" s="7">
        <f ca="1">+Datos!$M$4*$G$14</f>
        <v>0</v>
      </c>
      <c r="K162" s="2">
        <f ca="1">+Datos!$M$5*'Datos Distribucion'!$G$20</f>
        <v>0.16669859999999992</v>
      </c>
      <c r="L162" s="2"/>
    </row>
    <row r="163" spans="6:12" x14ac:dyDescent="0.3">
      <c r="F163" s="2">
        <f t="shared" ca="1" si="19"/>
        <v>0.64500000000000013</v>
      </c>
      <c r="G163" s="2">
        <f t="shared" ca="1" si="20"/>
        <v>5.0999999999999976E-2</v>
      </c>
      <c r="H163" s="2">
        <f t="shared" ca="1" si="21"/>
        <v>0.50936170212765974</v>
      </c>
      <c r="I163" s="2">
        <f t="shared" ca="1" si="22"/>
        <v>0.78063829787234051</v>
      </c>
      <c r="J163" s="7">
        <f ca="1">+Datos!$M$4*$G$14</f>
        <v>0</v>
      </c>
      <c r="K163" s="2">
        <f ca="1">+Datos!$M$5*'Datos Distribucion'!$G$20</f>
        <v>0.16669859999999992</v>
      </c>
      <c r="L163" s="2"/>
    </row>
    <row r="164" spans="6:12" x14ac:dyDescent="0.3">
      <c r="F164" s="2">
        <f t="shared" ca="1" si="19"/>
        <v>0.64500000000000013</v>
      </c>
      <c r="G164" s="2">
        <f t="shared" ca="1" si="20"/>
        <v>5.0999999999999976E-2</v>
      </c>
      <c r="H164" s="2">
        <f t="shared" ca="1" si="21"/>
        <v>0.50936170212765974</v>
      </c>
      <c r="I164" s="2">
        <f t="shared" ca="1" si="22"/>
        <v>0.78063829787234051</v>
      </c>
      <c r="J164" s="7">
        <f ca="1">+Datos!$M$4*$G$14</f>
        <v>0</v>
      </c>
      <c r="K164" s="2">
        <f ca="1">+Datos!$M$5*'Datos Distribucion'!$G$20</f>
        <v>0.16669859999999992</v>
      </c>
      <c r="L164" s="2"/>
    </row>
    <row r="165" spans="6:12" x14ac:dyDescent="0.3">
      <c r="F165" s="2">
        <f t="shared" ca="1" si="19"/>
        <v>0.64500000000000013</v>
      </c>
      <c r="G165" s="2">
        <f t="shared" ca="1" si="20"/>
        <v>5.0999999999999976E-2</v>
      </c>
      <c r="H165" s="2">
        <f t="shared" ca="1" si="21"/>
        <v>0.50936170212765974</v>
      </c>
      <c r="I165" s="2">
        <f t="shared" ca="1" si="22"/>
        <v>0.78063829787234051</v>
      </c>
      <c r="J165" s="7">
        <f ca="1">+Datos!$M$4*$G$14</f>
        <v>0</v>
      </c>
      <c r="K165" s="2">
        <f ca="1">+Datos!$M$5*'Datos Distribucion'!$G$20</f>
        <v>0.16669859999999992</v>
      </c>
      <c r="L165" s="2"/>
    </row>
    <row r="166" spans="6:12" x14ac:dyDescent="0.3">
      <c r="F166" s="2">
        <f t="shared" ca="1" si="19"/>
        <v>0.64500000000000013</v>
      </c>
      <c r="G166" s="2">
        <f t="shared" ca="1" si="20"/>
        <v>5.0999999999999976E-2</v>
      </c>
      <c r="H166" s="2">
        <f t="shared" ca="1" si="21"/>
        <v>0.50936170212765974</v>
      </c>
      <c r="I166" s="2">
        <f t="shared" ca="1" si="22"/>
        <v>0.78063829787234051</v>
      </c>
      <c r="J166" s="7">
        <f ca="1">+Datos!$M$4*$G$14</f>
        <v>0</v>
      </c>
      <c r="K166" s="2">
        <f ca="1">+Datos!$M$5*'Datos Distribucion'!$G$20</f>
        <v>0.16669859999999992</v>
      </c>
      <c r="L166" s="2"/>
    </row>
    <row r="167" spans="6:12" x14ac:dyDescent="0.3">
      <c r="F167" s="2">
        <f t="shared" ca="1" si="19"/>
        <v>0.64500000000000013</v>
      </c>
      <c r="G167" s="2">
        <f t="shared" ca="1" si="20"/>
        <v>5.0999999999999976E-2</v>
      </c>
      <c r="H167" s="2">
        <f t="shared" ca="1" si="21"/>
        <v>0.50936170212765974</v>
      </c>
      <c r="I167" s="2">
        <f t="shared" ca="1" si="22"/>
        <v>0.78063829787234051</v>
      </c>
      <c r="J167" s="7">
        <f ca="1">+Datos!$M$4*$G$14</f>
        <v>0</v>
      </c>
      <c r="K167" s="2">
        <f ca="1">+Datos!$M$5*'Datos Distribucion'!$G$20</f>
        <v>0.16669859999999992</v>
      </c>
      <c r="L167" s="2"/>
    </row>
    <row r="168" spans="6:12" x14ac:dyDescent="0.3">
      <c r="F168" s="2">
        <f t="shared" ca="1" si="19"/>
        <v>0.64500000000000013</v>
      </c>
      <c r="G168" s="2">
        <f t="shared" ca="1" si="20"/>
        <v>5.0999999999999976E-2</v>
      </c>
      <c r="H168" s="2">
        <f t="shared" ca="1" si="21"/>
        <v>0.50936170212765974</v>
      </c>
      <c r="I168" s="2">
        <f t="shared" ca="1" si="22"/>
        <v>0.78063829787234051</v>
      </c>
      <c r="J168" s="7">
        <f ca="1">+Datos!$M$4*$G$14</f>
        <v>0</v>
      </c>
      <c r="K168" s="2">
        <f ca="1">+Datos!$M$5*'Datos Distribucion'!$G$20</f>
        <v>0.16669859999999992</v>
      </c>
      <c r="L168" s="2"/>
    </row>
    <row r="169" spans="6:12" x14ac:dyDescent="0.3">
      <c r="F169" s="2">
        <f t="shared" ca="1" si="19"/>
        <v>0.64500000000000013</v>
      </c>
      <c r="G169" s="2">
        <f t="shared" ca="1" si="20"/>
        <v>5.0999999999999976E-2</v>
      </c>
      <c r="H169" s="2">
        <f t="shared" ca="1" si="21"/>
        <v>0.50936170212765974</v>
      </c>
      <c r="I169" s="2">
        <f t="shared" ca="1" si="22"/>
        <v>0.78063829787234051</v>
      </c>
      <c r="J169" s="7">
        <f ca="1">+Datos!$M$4*$G$14</f>
        <v>0</v>
      </c>
      <c r="K169" s="2">
        <f ca="1">+Datos!$M$5*'Datos Distribucion'!$G$20</f>
        <v>0.16669859999999992</v>
      </c>
      <c r="L169" s="2"/>
    </row>
    <row r="170" spans="6:12" x14ac:dyDescent="0.3">
      <c r="F170" s="2">
        <f t="shared" ca="1" si="19"/>
        <v>0.64500000000000013</v>
      </c>
      <c r="G170" s="2">
        <f t="shared" ca="1" si="20"/>
        <v>5.0999999999999976E-2</v>
      </c>
      <c r="H170" s="2">
        <f t="shared" ca="1" si="21"/>
        <v>0.50936170212765974</v>
      </c>
      <c r="I170" s="2">
        <f t="shared" ca="1" si="22"/>
        <v>0.78063829787234051</v>
      </c>
      <c r="J170" s="7">
        <f ca="1">+Datos!$M$4*$G$14</f>
        <v>0</v>
      </c>
      <c r="K170" s="2">
        <f ca="1">+Datos!$M$5*'Datos Distribucion'!$G$20</f>
        <v>0.16669859999999992</v>
      </c>
      <c r="L170" s="2"/>
    </row>
    <row r="171" spans="6:12" x14ac:dyDescent="0.3">
      <c r="F171" s="2">
        <f t="shared" ca="1" si="19"/>
        <v>0.64500000000000013</v>
      </c>
      <c r="G171" s="2">
        <f t="shared" ca="1" si="20"/>
        <v>5.0999999999999976E-2</v>
      </c>
      <c r="H171" s="2">
        <f t="shared" ca="1" si="21"/>
        <v>0.50936170212765974</v>
      </c>
      <c r="I171" s="2">
        <f t="shared" ca="1" si="22"/>
        <v>0.78063829787234051</v>
      </c>
      <c r="J171" s="7">
        <f ca="1">+Datos!$M$4*$G$14</f>
        <v>0</v>
      </c>
      <c r="K171" s="2">
        <f ca="1">+Datos!$M$5*'Datos Distribucion'!$G$20</f>
        <v>0.16669859999999992</v>
      </c>
      <c r="L171" s="2"/>
    </row>
    <row r="172" spans="6:12" x14ac:dyDescent="0.3">
      <c r="F172" s="2">
        <f t="shared" ca="1" si="19"/>
        <v>0.64500000000000013</v>
      </c>
      <c r="G172" s="2">
        <f t="shared" ca="1" si="20"/>
        <v>5.0999999999999976E-2</v>
      </c>
      <c r="H172" s="2">
        <f t="shared" ca="1" si="21"/>
        <v>0.50936170212765974</v>
      </c>
      <c r="I172" s="2">
        <f t="shared" ca="1" si="22"/>
        <v>0.78063829787234051</v>
      </c>
      <c r="J172" s="7">
        <f ca="1">+Datos!$M$4*$G$14</f>
        <v>0</v>
      </c>
      <c r="K172" s="2">
        <f ca="1">+Datos!$M$5*'Datos Distribucion'!$G$20</f>
        <v>0.16669859999999992</v>
      </c>
      <c r="L172" s="2"/>
    </row>
    <row r="173" spans="6:12" x14ac:dyDescent="0.3">
      <c r="F173" s="2">
        <f t="shared" ca="1" si="19"/>
        <v>0.64500000000000013</v>
      </c>
      <c r="G173" s="2">
        <f t="shared" ca="1" si="20"/>
        <v>5.0999999999999976E-2</v>
      </c>
      <c r="H173" s="2">
        <f t="shared" ca="1" si="21"/>
        <v>0.50936170212765974</v>
      </c>
      <c r="I173" s="2">
        <f t="shared" ca="1" si="22"/>
        <v>0.78063829787234051</v>
      </c>
      <c r="J173" s="7">
        <f ca="1">+Datos!$M$4*$G$14</f>
        <v>0</v>
      </c>
      <c r="K173" s="2">
        <f ca="1">+Datos!$M$5*'Datos Distribucion'!$G$20</f>
        <v>0.16669859999999992</v>
      </c>
      <c r="L173" s="2"/>
    </row>
    <row r="174" spans="6:12" x14ac:dyDescent="0.3">
      <c r="F174" s="2">
        <f t="shared" ca="1" si="19"/>
        <v>0.64500000000000013</v>
      </c>
      <c r="G174" s="2">
        <f t="shared" ca="1" si="20"/>
        <v>5.0999999999999976E-2</v>
      </c>
      <c r="H174" s="2">
        <f t="shared" ca="1" si="21"/>
        <v>0.50936170212765974</v>
      </c>
      <c r="I174" s="2">
        <f t="shared" ca="1" si="22"/>
        <v>0.78063829787234051</v>
      </c>
      <c r="J174" s="7">
        <f ca="1">+Datos!$M$4*$G$14</f>
        <v>0</v>
      </c>
      <c r="K174" s="2">
        <f ca="1">+Datos!$M$5*'Datos Distribucion'!$G$20</f>
        <v>0.16669859999999992</v>
      </c>
      <c r="L174" s="2"/>
    </row>
    <row r="175" spans="6:12" x14ac:dyDescent="0.3">
      <c r="F175" s="2">
        <f t="shared" ca="1" si="19"/>
        <v>0.64500000000000013</v>
      </c>
      <c r="G175" s="2">
        <f t="shared" ca="1" si="20"/>
        <v>5.0999999999999976E-2</v>
      </c>
      <c r="H175" s="2">
        <f t="shared" ca="1" si="21"/>
        <v>0.50936170212765974</v>
      </c>
      <c r="I175" s="2">
        <f t="shared" ca="1" si="22"/>
        <v>0.78063829787234051</v>
      </c>
      <c r="J175" s="7">
        <f ca="1">+Datos!$M$4*$G$14</f>
        <v>0</v>
      </c>
      <c r="K175" s="2">
        <f ca="1">+Datos!$M$5*'Datos Distribucion'!$G$20</f>
        <v>0.16669859999999992</v>
      </c>
      <c r="L175" s="2"/>
    </row>
    <row r="176" spans="6:12" x14ac:dyDescent="0.3">
      <c r="F176" s="2">
        <f t="shared" ca="1" si="19"/>
        <v>0.64500000000000013</v>
      </c>
      <c r="G176" s="2">
        <f t="shared" ca="1" si="20"/>
        <v>5.0999999999999976E-2</v>
      </c>
      <c r="H176" s="2">
        <f t="shared" ca="1" si="21"/>
        <v>0.50936170212765974</v>
      </c>
      <c r="I176" s="2">
        <f t="shared" ca="1" si="22"/>
        <v>0.78063829787234051</v>
      </c>
      <c r="J176" s="7">
        <f ca="1">+Datos!$M$4*$G$14</f>
        <v>0</v>
      </c>
      <c r="K176" s="2">
        <f ca="1">+Datos!$M$5*'Datos Distribucion'!$G$20</f>
        <v>0.16669859999999992</v>
      </c>
      <c r="L176" s="2"/>
    </row>
    <row r="177" spans="6:12" x14ac:dyDescent="0.3">
      <c r="F177" s="2">
        <f t="shared" ca="1" si="19"/>
        <v>0.64500000000000013</v>
      </c>
      <c r="G177" s="2">
        <f t="shared" ca="1" si="20"/>
        <v>5.0999999999999976E-2</v>
      </c>
      <c r="H177" s="2">
        <f t="shared" ca="1" si="21"/>
        <v>0.50936170212765974</v>
      </c>
      <c r="I177" s="2">
        <f t="shared" ca="1" si="22"/>
        <v>0.78063829787234051</v>
      </c>
      <c r="J177" s="7">
        <f ca="1">+Datos!$M$4*$G$14</f>
        <v>0</v>
      </c>
      <c r="K177" s="2">
        <f ca="1">+Datos!$M$5*'Datos Distribucion'!$G$20</f>
        <v>0.16669859999999992</v>
      </c>
      <c r="L177" s="2"/>
    </row>
    <row r="178" spans="6:12" x14ac:dyDescent="0.3">
      <c r="F178" s="2">
        <f t="shared" ca="1" si="19"/>
        <v>0.64500000000000013</v>
      </c>
      <c r="G178" s="2">
        <f t="shared" ca="1" si="20"/>
        <v>5.0999999999999976E-2</v>
      </c>
      <c r="H178" s="2">
        <f t="shared" ca="1" si="21"/>
        <v>0.50936170212765974</v>
      </c>
      <c r="I178" s="2">
        <f t="shared" ca="1" si="22"/>
        <v>0.78063829787234051</v>
      </c>
      <c r="J178" s="7">
        <f ca="1">+Datos!$M$4*$G$14</f>
        <v>0</v>
      </c>
      <c r="K178" s="2">
        <f ca="1">+Datos!$M$5*'Datos Distribucion'!$G$20</f>
        <v>0.16669859999999992</v>
      </c>
      <c r="L178" s="2"/>
    </row>
    <row r="179" spans="6:12" x14ac:dyDescent="0.3">
      <c r="F179" s="2">
        <f t="shared" ca="1" si="19"/>
        <v>0.64500000000000013</v>
      </c>
      <c r="G179" s="2">
        <f t="shared" ca="1" si="20"/>
        <v>5.0999999999999976E-2</v>
      </c>
      <c r="H179" s="2">
        <f t="shared" ca="1" si="21"/>
        <v>0.50936170212765974</v>
      </c>
      <c r="I179" s="2">
        <f t="shared" ca="1" si="22"/>
        <v>0.78063829787234051</v>
      </c>
      <c r="J179" s="7">
        <f ca="1">+Datos!$M$4*$G$14</f>
        <v>0</v>
      </c>
      <c r="K179" s="2">
        <f ca="1">+Datos!$M$5*'Datos Distribucion'!$G$20</f>
        <v>0.16669859999999992</v>
      </c>
      <c r="L179" s="2"/>
    </row>
    <row r="180" spans="6:12" x14ac:dyDescent="0.3">
      <c r="F180" s="2">
        <f t="shared" ca="1" si="19"/>
        <v>0.64500000000000013</v>
      </c>
      <c r="G180" s="2">
        <f t="shared" ca="1" si="20"/>
        <v>5.0999999999999976E-2</v>
      </c>
      <c r="H180" s="2">
        <f t="shared" ca="1" si="21"/>
        <v>0.50936170212765974</v>
      </c>
      <c r="I180" s="2">
        <f t="shared" ca="1" si="22"/>
        <v>0.78063829787234051</v>
      </c>
      <c r="J180" s="7">
        <f ca="1">+Datos!$M$4*$G$14</f>
        <v>0</v>
      </c>
      <c r="K180" s="2">
        <f ca="1">+Datos!$M$5*'Datos Distribucion'!$G$20</f>
        <v>0.16669859999999992</v>
      </c>
      <c r="L180" s="2"/>
    </row>
    <row r="181" spans="6:12" x14ac:dyDescent="0.3">
      <c r="F181" s="2">
        <f t="shared" ca="1" si="19"/>
        <v>0.64500000000000013</v>
      </c>
      <c r="G181" s="2">
        <f t="shared" ca="1" si="20"/>
        <v>5.0999999999999976E-2</v>
      </c>
      <c r="H181" s="2">
        <f t="shared" ca="1" si="21"/>
        <v>0.50936170212765974</v>
      </c>
      <c r="I181" s="2">
        <f t="shared" ca="1" si="22"/>
        <v>0.78063829787234051</v>
      </c>
      <c r="J181" s="7">
        <f ca="1">+Datos!$M$4*$G$14</f>
        <v>0</v>
      </c>
      <c r="K181" s="2">
        <f ca="1">+Datos!$M$5*'Datos Distribucion'!$G$20</f>
        <v>0.16669859999999992</v>
      </c>
      <c r="L181" s="2"/>
    </row>
    <row r="182" spans="6:12" x14ac:dyDescent="0.3">
      <c r="F182" s="2">
        <f t="shared" ca="1" si="19"/>
        <v>0.64500000000000013</v>
      </c>
      <c r="G182" s="2">
        <f t="shared" ca="1" si="20"/>
        <v>5.0999999999999976E-2</v>
      </c>
      <c r="H182" s="2">
        <f t="shared" ca="1" si="21"/>
        <v>0.50936170212765974</v>
      </c>
      <c r="I182" s="2">
        <f t="shared" ca="1" si="22"/>
        <v>0.78063829787234051</v>
      </c>
      <c r="J182" s="7">
        <f ca="1">+Datos!$M$4*$G$14</f>
        <v>0</v>
      </c>
      <c r="K182" s="2">
        <f ca="1">+Datos!$M$5*'Datos Distribucion'!$G$20</f>
        <v>0.16669859999999992</v>
      </c>
      <c r="L182" s="2"/>
    </row>
    <row r="183" spans="6:12" x14ac:dyDescent="0.3">
      <c r="F183" s="2">
        <f t="shared" ca="1" si="19"/>
        <v>0.64500000000000013</v>
      </c>
      <c r="G183" s="2">
        <f t="shared" ca="1" si="20"/>
        <v>5.0999999999999976E-2</v>
      </c>
      <c r="H183" s="2">
        <f t="shared" ca="1" si="21"/>
        <v>0.50936170212765974</v>
      </c>
      <c r="I183" s="2">
        <f t="shared" ca="1" si="22"/>
        <v>0.78063829787234051</v>
      </c>
      <c r="J183" s="7">
        <f ca="1">+Datos!$M$4*$G$14</f>
        <v>0</v>
      </c>
      <c r="K183" s="2">
        <f ca="1">+Datos!$M$5*'Datos Distribucion'!$G$20</f>
        <v>0.16669859999999992</v>
      </c>
      <c r="L183" s="2"/>
    </row>
    <row r="184" spans="6:12" x14ac:dyDescent="0.3">
      <c r="F184" s="2">
        <f t="shared" ca="1" si="19"/>
        <v>0.64500000000000013</v>
      </c>
      <c r="G184" s="2">
        <f t="shared" ca="1" si="20"/>
        <v>5.0999999999999976E-2</v>
      </c>
      <c r="H184" s="2">
        <f t="shared" ca="1" si="21"/>
        <v>0.50936170212765974</v>
      </c>
      <c r="I184" s="2">
        <f t="shared" ca="1" si="22"/>
        <v>0.78063829787234051</v>
      </c>
      <c r="J184" s="7">
        <f ca="1">+Datos!$M$4*$G$14</f>
        <v>0</v>
      </c>
      <c r="K184" s="2">
        <f ca="1">+Datos!$M$5*'Datos Distribucion'!$G$20</f>
        <v>0.16669859999999992</v>
      </c>
      <c r="L184" s="2"/>
    </row>
    <row r="185" spans="6:12" x14ac:dyDescent="0.3">
      <c r="F185" s="2">
        <f t="shared" ca="1" si="19"/>
        <v>0.64500000000000013</v>
      </c>
      <c r="G185" s="2">
        <f t="shared" ca="1" si="20"/>
        <v>5.0999999999999976E-2</v>
      </c>
      <c r="H185" s="2">
        <f t="shared" ca="1" si="21"/>
        <v>0.50936170212765974</v>
      </c>
      <c r="I185" s="2">
        <f t="shared" ca="1" si="22"/>
        <v>0.78063829787234051</v>
      </c>
      <c r="J185" s="7">
        <f ca="1">+Datos!$M$4*$G$14</f>
        <v>0</v>
      </c>
      <c r="K185" s="2">
        <f ca="1">+Datos!$M$5*'Datos Distribucion'!$G$20</f>
        <v>0.16669859999999992</v>
      </c>
      <c r="L185" s="2"/>
    </row>
    <row r="186" spans="6:12" x14ac:dyDescent="0.3">
      <c r="F186" s="2">
        <f t="shared" ca="1" si="19"/>
        <v>0.64500000000000013</v>
      </c>
      <c r="G186" s="2">
        <f t="shared" ca="1" si="20"/>
        <v>5.0999999999999976E-2</v>
      </c>
      <c r="H186" s="2">
        <f t="shared" ca="1" si="21"/>
        <v>0.50936170212765974</v>
      </c>
      <c r="I186" s="2">
        <f t="shared" ca="1" si="22"/>
        <v>0.78063829787234051</v>
      </c>
      <c r="J186" s="7">
        <f ca="1">+Datos!$M$4*$G$14</f>
        <v>0</v>
      </c>
      <c r="K186" s="2">
        <f ca="1">+Datos!$M$5*'Datos Distribucion'!$G$20</f>
        <v>0.16669859999999992</v>
      </c>
      <c r="L186" s="2"/>
    </row>
    <row r="187" spans="6:12" x14ac:dyDescent="0.3">
      <c r="F187" s="2">
        <f t="shared" ca="1" si="19"/>
        <v>0.64500000000000013</v>
      </c>
      <c r="G187" s="2">
        <f t="shared" ca="1" si="20"/>
        <v>5.0999999999999976E-2</v>
      </c>
      <c r="H187" s="2">
        <f t="shared" ca="1" si="21"/>
        <v>0.50936170212765974</v>
      </c>
      <c r="I187" s="2">
        <f t="shared" ca="1" si="22"/>
        <v>0.78063829787234051</v>
      </c>
      <c r="J187" s="7">
        <f ca="1">+Datos!$M$4*$G$14</f>
        <v>0</v>
      </c>
      <c r="K187" s="2">
        <f ca="1">+Datos!$M$5*'Datos Distribucion'!$G$20</f>
        <v>0.16669859999999992</v>
      </c>
      <c r="L187" s="2"/>
    </row>
    <row r="188" spans="6:12" x14ac:dyDescent="0.3">
      <c r="F188" s="2">
        <f t="shared" ca="1" si="19"/>
        <v>0.64500000000000013</v>
      </c>
      <c r="G188" s="2">
        <f t="shared" ca="1" si="20"/>
        <v>5.0999999999999976E-2</v>
      </c>
      <c r="H188" s="2">
        <f t="shared" ca="1" si="21"/>
        <v>0.50936170212765974</v>
      </c>
      <c r="I188" s="2">
        <f t="shared" ca="1" si="22"/>
        <v>0.78063829787234051</v>
      </c>
      <c r="J188" s="7">
        <f ca="1">+Datos!$M$4*$G$14</f>
        <v>0</v>
      </c>
      <c r="K188" s="2">
        <f ca="1">+Datos!$M$5*'Datos Distribucion'!$G$20</f>
        <v>0.16669859999999992</v>
      </c>
      <c r="L188" s="2"/>
    </row>
    <row r="189" spans="6:12" x14ac:dyDescent="0.3">
      <c r="F189" s="2">
        <f t="shared" ca="1" si="19"/>
        <v>0.64500000000000013</v>
      </c>
      <c r="G189" s="2">
        <f t="shared" ca="1" si="20"/>
        <v>5.0999999999999976E-2</v>
      </c>
      <c r="H189" s="2">
        <f t="shared" ca="1" si="21"/>
        <v>0.50936170212765974</v>
      </c>
      <c r="I189" s="2">
        <f t="shared" ca="1" si="22"/>
        <v>0.78063829787234051</v>
      </c>
      <c r="J189" s="7">
        <f ca="1">+Datos!$M$4*$G$14</f>
        <v>0</v>
      </c>
      <c r="K189" s="2">
        <f ca="1">+Datos!$M$5*'Datos Distribucion'!$G$20</f>
        <v>0.16669859999999992</v>
      </c>
      <c r="L189" s="2"/>
    </row>
    <row r="190" spans="6:12" x14ac:dyDescent="0.3">
      <c r="F190" s="2">
        <f t="shared" ca="1" si="19"/>
        <v>0.64500000000000013</v>
      </c>
      <c r="G190" s="2">
        <f t="shared" ca="1" si="20"/>
        <v>5.0999999999999976E-2</v>
      </c>
      <c r="H190" s="2">
        <f t="shared" ca="1" si="21"/>
        <v>0.50936170212765974</v>
      </c>
      <c r="I190" s="2">
        <f t="shared" ca="1" si="22"/>
        <v>0.78063829787234051</v>
      </c>
      <c r="J190" s="7">
        <f ca="1">+Datos!$M$4*$G$14</f>
        <v>0</v>
      </c>
      <c r="K190" s="2">
        <f ca="1">+Datos!$M$5*'Datos Distribucion'!$G$20</f>
        <v>0.16669859999999992</v>
      </c>
      <c r="L190" s="2"/>
    </row>
    <row r="191" spans="6:12" x14ac:dyDescent="0.3">
      <c r="F191" s="2">
        <f t="shared" ca="1" si="19"/>
        <v>0.64500000000000013</v>
      </c>
      <c r="G191" s="2">
        <f t="shared" ca="1" si="20"/>
        <v>5.0999999999999976E-2</v>
      </c>
      <c r="H191" s="2">
        <f t="shared" ca="1" si="21"/>
        <v>0.50936170212765974</v>
      </c>
      <c r="I191" s="2">
        <f t="shared" ca="1" si="22"/>
        <v>0.78063829787234051</v>
      </c>
      <c r="J191" s="7">
        <f ca="1">+Datos!$M$4*$G$14</f>
        <v>0</v>
      </c>
      <c r="K191" s="2">
        <f ca="1">+Datos!$M$5*'Datos Distribucion'!$G$20</f>
        <v>0.16669859999999992</v>
      </c>
      <c r="L191" s="2"/>
    </row>
    <row r="192" spans="6:12" x14ac:dyDescent="0.3">
      <c r="F192" s="2">
        <f t="shared" ca="1" si="19"/>
        <v>0.64500000000000013</v>
      </c>
      <c r="G192" s="2">
        <f t="shared" ca="1" si="20"/>
        <v>5.0999999999999976E-2</v>
      </c>
      <c r="H192" s="2">
        <f t="shared" ca="1" si="21"/>
        <v>0.50936170212765974</v>
      </c>
      <c r="I192" s="2">
        <f t="shared" ca="1" si="22"/>
        <v>0.78063829787234051</v>
      </c>
      <c r="J192" s="7">
        <f ca="1">+Datos!$M$4*$G$14</f>
        <v>0</v>
      </c>
      <c r="K192" s="2">
        <f ca="1">+Datos!$M$5*'Datos Distribucion'!$G$20</f>
        <v>0.16669859999999992</v>
      </c>
      <c r="L192" s="2"/>
    </row>
    <row r="193" spans="6:12" x14ac:dyDescent="0.3">
      <c r="F193" s="2">
        <f t="shared" ref="F193:F237" ca="1" si="23">+AVERAGE(espesor)</f>
        <v>0.64500000000000013</v>
      </c>
      <c r="G193" s="2">
        <f t="shared" ref="G193:G237" ca="1" si="24">+AVERAGE(rango_movil)</f>
        <v>5.0999999999999976E-2</v>
      </c>
      <c r="H193" s="2">
        <f t="shared" ca="1" si="21"/>
        <v>0.50936170212765974</v>
      </c>
      <c r="I193" s="2">
        <f t="shared" ca="1" si="22"/>
        <v>0.78063829787234051</v>
      </c>
      <c r="J193" s="7">
        <f ca="1">+Datos!$M$4*$G$14</f>
        <v>0</v>
      </c>
      <c r="K193" s="2">
        <f ca="1">+Datos!$M$5*'Datos Distribucion'!$G$20</f>
        <v>0.16669859999999992</v>
      </c>
      <c r="L193" s="2"/>
    </row>
    <row r="194" spans="6:12" x14ac:dyDescent="0.3">
      <c r="F194" s="2">
        <f t="shared" ca="1" si="23"/>
        <v>0.64500000000000013</v>
      </c>
      <c r="G194" s="2">
        <f t="shared" ca="1" si="24"/>
        <v>5.0999999999999976E-2</v>
      </c>
      <c r="H194" s="2">
        <f t="shared" ca="1" si="21"/>
        <v>0.50936170212765974</v>
      </c>
      <c r="I194" s="2">
        <f t="shared" ca="1" si="22"/>
        <v>0.78063829787234051</v>
      </c>
      <c r="J194" s="7">
        <f ca="1">+Datos!$M$4*$G$14</f>
        <v>0</v>
      </c>
      <c r="K194" s="2">
        <f ca="1">+Datos!$M$5*'Datos Distribucion'!$G$20</f>
        <v>0.16669859999999992</v>
      </c>
      <c r="L194" s="2"/>
    </row>
    <row r="195" spans="6:12" x14ac:dyDescent="0.3">
      <c r="F195" s="2">
        <f t="shared" ca="1" si="23"/>
        <v>0.64500000000000013</v>
      </c>
      <c r="G195" s="2">
        <f t="shared" ca="1" si="24"/>
        <v>5.0999999999999976E-2</v>
      </c>
      <c r="H195" s="2">
        <f t="shared" ref="H195:H237" ca="1" si="25">+$F$2-(3*$G$1/1.128)</f>
        <v>0.50936170212765974</v>
      </c>
      <c r="I195" s="2">
        <f t="shared" ref="I195:I237" ca="1" si="26">+$F$2+(3*$G$1/1.128)</f>
        <v>0.78063829787234051</v>
      </c>
      <c r="J195" s="7">
        <f ca="1">+Datos!$M$4*$G$14</f>
        <v>0</v>
      </c>
      <c r="K195" s="2">
        <f ca="1">+Datos!$M$5*'Datos Distribucion'!$G$20</f>
        <v>0.16669859999999992</v>
      </c>
      <c r="L195" s="2"/>
    </row>
    <row r="196" spans="6:12" x14ac:dyDescent="0.3">
      <c r="F196" s="2">
        <f t="shared" ca="1" si="23"/>
        <v>0.64500000000000013</v>
      </c>
      <c r="G196" s="2">
        <f t="shared" ca="1" si="24"/>
        <v>5.0999999999999976E-2</v>
      </c>
      <c r="H196" s="2">
        <f t="shared" ca="1" si="25"/>
        <v>0.50936170212765974</v>
      </c>
      <c r="I196" s="2">
        <f t="shared" ca="1" si="26"/>
        <v>0.78063829787234051</v>
      </c>
      <c r="J196" s="7">
        <f ca="1">+Datos!$M$4*$G$14</f>
        <v>0</v>
      </c>
      <c r="K196" s="2">
        <f ca="1">+Datos!$M$5*'Datos Distribucion'!$G$20</f>
        <v>0.16669859999999992</v>
      </c>
      <c r="L196" s="2"/>
    </row>
    <row r="197" spans="6:12" x14ac:dyDescent="0.3">
      <c r="F197" s="2">
        <f t="shared" ca="1" si="23"/>
        <v>0.64500000000000013</v>
      </c>
      <c r="G197" s="2">
        <f t="shared" ca="1" si="24"/>
        <v>5.0999999999999976E-2</v>
      </c>
      <c r="H197" s="2">
        <f t="shared" ca="1" si="25"/>
        <v>0.50936170212765974</v>
      </c>
      <c r="I197" s="2">
        <f t="shared" ca="1" si="26"/>
        <v>0.78063829787234051</v>
      </c>
      <c r="J197" s="7">
        <f ca="1">+Datos!$M$4*$G$14</f>
        <v>0</v>
      </c>
      <c r="K197" s="2">
        <f ca="1">+Datos!$M$5*'Datos Distribucion'!$G$20</f>
        <v>0.16669859999999992</v>
      </c>
      <c r="L197" s="2"/>
    </row>
    <row r="198" spans="6:12" x14ac:dyDescent="0.3">
      <c r="F198" s="2">
        <f t="shared" ca="1" si="23"/>
        <v>0.64500000000000013</v>
      </c>
      <c r="G198" s="2">
        <f t="shared" ca="1" si="24"/>
        <v>5.0999999999999976E-2</v>
      </c>
      <c r="H198" s="2">
        <f t="shared" ca="1" si="25"/>
        <v>0.50936170212765974</v>
      </c>
      <c r="I198" s="2">
        <f t="shared" ca="1" si="26"/>
        <v>0.78063829787234051</v>
      </c>
      <c r="J198" s="7">
        <f ca="1">+Datos!$M$4*$G$14</f>
        <v>0</v>
      </c>
      <c r="K198" s="2">
        <f ca="1">+Datos!$M$5*'Datos Distribucion'!$G$20</f>
        <v>0.16669859999999992</v>
      </c>
      <c r="L198" s="2"/>
    </row>
    <row r="199" spans="6:12" x14ac:dyDescent="0.3">
      <c r="F199" s="2">
        <f t="shared" ca="1" si="23"/>
        <v>0.64500000000000013</v>
      </c>
      <c r="G199" s="2">
        <f t="shared" ca="1" si="24"/>
        <v>5.0999999999999976E-2</v>
      </c>
      <c r="H199" s="2">
        <f t="shared" ca="1" si="25"/>
        <v>0.50936170212765974</v>
      </c>
      <c r="I199" s="2">
        <f t="shared" ca="1" si="26"/>
        <v>0.78063829787234051</v>
      </c>
      <c r="J199" s="7">
        <f ca="1">+Datos!$M$4*$G$14</f>
        <v>0</v>
      </c>
      <c r="K199" s="2">
        <f ca="1">+Datos!$M$5*'Datos Distribucion'!$G$20</f>
        <v>0.16669859999999992</v>
      </c>
      <c r="L199" s="2"/>
    </row>
    <row r="200" spans="6:12" x14ac:dyDescent="0.3">
      <c r="F200" s="2">
        <f t="shared" ca="1" si="23"/>
        <v>0.64500000000000013</v>
      </c>
      <c r="G200" s="2">
        <f t="shared" ca="1" si="24"/>
        <v>5.0999999999999976E-2</v>
      </c>
      <c r="H200" s="2">
        <f t="shared" ca="1" si="25"/>
        <v>0.50936170212765974</v>
      </c>
      <c r="I200" s="2">
        <f t="shared" ca="1" si="26"/>
        <v>0.78063829787234051</v>
      </c>
      <c r="J200" s="7">
        <f ca="1">+Datos!$M$4*$G$14</f>
        <v>0</v>
      </c>
      <c r="K200" s="2">
        <f ca="1">+Datos!$M$5*'Datos Distribucion'!$G$20</f>
        <v>0.16669859999999992</v>
      </c>
      <c r="L200" s="2"/>
    </row>
    <row r="201" spans="6:12" x14ac:dyDescent="0.3">
      <c r="F201" s="2">
        <f t="shared" ca="1" si="23"/>
        <v>0.64500000000000013</v>
      </c>
      <c r="G201" s="2">
        <f t="shared" ca="1" si="24"/>
        <v>5.0999999999999976E-2</v>
      </c>
      <c r="H201" s="2">
        <f t="shared" ca="1" si="25"/>
        <v>0.50936170212765974</v>
      </c>
      <c r="I201" s="2">
        <f t="shared" ca="1" si="26"/>
        <v>0.78063829787234051</v>
      </c>
      <c r="J201" s="7">
        <f ca="1">+Datos!$M$4*$G$14</f>
        <v>0</v>
      </c>
      <c r="K201" s="2">
        <f ca="1">+Datos!$M$5*'Datos Distribucion'!$G$20</f>
        <v>0.16669859999999992</v>
      </c>
      <c r="L201" s="2"/>
    </row>
    <row r="202" spans="6:12" x14ac:dyDescent="0.3">
      <c r="F202" s="2">
        <f t="shared" ca="1" si="23"/>
        <v>0.64500000000000013</v>
      </c>
      <c r="G202" s="2">
        <f t="shared" ca="1" si="24"/>
        <v>5.0999999999999976E-2</v>
      </c>
      <c r="H202" s="2">
        <f t="shared" ca="1" si="25"/>
        <v>0.50936170212765974</v>
      </c>
      <c r="I202" s="2">
        <f t="shared" ca="1" si="26"/>
        <v>0.78063829787234051</v>
      </c>
      <c r="J202" s="7">
        <f ca="1">+Datos!$M$4*$G$14</f>
        <v>0</v>
      </c>
      <c r="K202" s="2">
        <f ca="1">+Datos!$M$5*'Datos Distribucion'!$G$20</f>
        <v>0.16669859999999992</v>
      </c>
      <c r="L202" s="2"/>
    </row>
    <row r="203" spans="6:12" x14ac:dyDescent="0.3">
      <c r="F203" s="2">
        <f t="shared" ca="1" si="23"/>
        <v>0.64500000000000013</v>
      </c>
      <c r="G203" s="2">
        <f t="shared" ca="1" si="24"/>
        <v>5.0999999999999976E-2</v>
      </c>
      <c r="H203" s="2">
        <f t="shared" ca="1" si="25"/>
        <v>0.50936170212765974</v>
      </c>
      <c r="I203" s="2">
        <f t="shared" ca="1" si="26"/>
        <v>0.78063829787234051</v>
      </c>
      <c r="J203" s="7">
        <f ca="1">+Datos!$M$4*$G$14</f>
        <v>0</v>
      </c>
      <c r="K203" s="2">
        <f ca="1">+Datos!$M$5*'Datos Distribucion'!$G$20</f>
        <v>0.16669859999999992</v>
      </c>
      <c r="L203" s="2"/>
    </row>
    <row r="204" spans="6:12" x14ac:dyDescent="0.3">
      <c r="F204" s="2">
        <f t="shared" ca="1" si="23"/>
        <v>0.64500000000000013</v>
      </c>
      <c r="G204" s="2">
        <f t="shared" ca="1" si="24"/>
        <v>5.0999999999999976E-2</v>
      </c>
      <c r="H204" s="2">
        <f t="shared" ca="1" si="25"/>
        <v>0.50936170212765974</v>
      </c>
      <c r="I204" s="2">
        <f t="shared" ca="1" si="26"/>
        <v>0.78063829787234051</v>
      </c>
      <c r="J204" s="7">
        <f ca="1">+Datos!$M$4*$G$14</f>
        <v>0</v>
      </c>
      <c r="K204" s="2">
        <f ca="1">+Datos!$M$5*'Datos Distribucion'!$G$20</f>
        <v>0.16669859999999992</v>
      </c>
      <c r="L204" s="2"/>
    </row>
    <row r="205" spans="6:12" x14ac:dyDescent="0.3">
      <c r="F205" s="2">
        <f t="shared" ca="1" si="23"/>
        <v>0.64500000000000013</v>
      </c>
      <c r="G205" s="2">
        <f t="shared" ca="1" si="24"/>
        <v>5.0999999999999976E-2</v>
      </c>
      <c r="H205" s="2">
        <f t="shared" ca="1" si="25"/>
        <v>0.50936170212765974</v>
      </c>
      <c r="I205" s="2">
        <f t="shared" ca="1" si="26"/>
        <v>0.78063829787234051</v>
      </c>
      <c r="J205" s="7">
        <f ca="1">+Datos!$M$4*$G$14</f>
        <v>0</v>
      </c>
      <c r="K205" s="2">
        <f ca="1">+Datos!$M$5*'Datos Distribucion'!$G$20</f>
        <v>0.16669859999999992</v>
      </c>
      <c r="L205" s="2"/>
    </row>
    <row r="206" spans="6:12" x14ac:dyDescent="0.3">
      <c r="F206" s="2">
        <f t="shared" ca="1" si="23"/>
        <v>0.64500000000000013</v>
      </c>
      <c r="G206" s="2">
        <f t="shared" ca="1" si="24"/>
        <v>5.0999999999999976E-2</v>
      </c>
      <c r="H206" s="2">
        <f t="shared" ca="1" si="25"/>
        <v>0.50936170212765974</v>
      </c>
      <c r="I206" s="2">
        <f t="shared" ca="1" si="26"/>
        <v>0.78063829787234051</v>
      </c>
      <c r="J206" s="7">
        <f ca="1">+Datos!$M$4*$G$14</f>
        <v>0</v>
      </c>
      <c r="K206" s="2">
        <f ca="1">+Datos!$M$5*'Datos Distribucion'!$G$20</f>
        <v>0.16669859999999992</v>
      </c>
      <c r="L206" s="2"/>
    </row>
    <row r="207" spans="6:12" x14ac:dyDescent="0.3">
      <c r="F207" s="2">
        <f t="shared" ca="1" si="23"/>
        <v>0.64500000000000013</v>
      </c>
      <c r="G207" s="2">
        <f t="shared" ca="1" si="24"/>
        <v>5.0999999999999976E-2</v>
      </c>
      <c r="H207" s="2">
        <f t="shared" ca="1" si="25"/>
        <v>0.50936170212765974</v>
      </c>
      <c r="I207" s="2">
        <f t="shared" ca="1" si="26"/>
        <v>0.78063829787234051</v>
      </c>
      <c r="J207" s="7">
        <f ca="1">+Datos!$M$4*$G$14</f>
        <v>0</v>
      </c>
      <c r="K207" s="2">
        <f ca="1">+Datos!$M$5*'Datos Distribucion'!$G$20</f>
        <v>0.16669859999999992</v>
      </c>
      <c r="L207" s="2"/>
    </row>
    <row r="208" spans="6:12" x14ac:dyDescent="0.3">
      <c r="F208" s="2">
        <f t="shared" ca="1" si="23"/>
        <v>0.64500000000000013</v>
      </c>
      <c r="G208" s="2">
        <f t="shared" ca="1" si="24"/>
        <v>5.0999999999999976E-2</v>
      </c>
      <c r="H208" s="2">
        <f t="shared" ca="1" si="25"/>
        <v>0.50936170212765974</v>
      </c>
      <c r="I208" s="2">
        <f t="shared" ca="1" si="26"/>
        <v>0.78063829787234051</v>
      </c>
      <c r="J208" s="7">
        <f ca="1">+Datos!$M$4*$G$14</f>
        <v>0</v>
      </c>
      <c r="K208" s="2">
        <f ca="1">+Datos!$M$5*'Datos Distribucion'!$G$20</f>
        <v>0.16669859999999992</v>
      </c>
      <c r="L208" s="2"/>
    </row>
    <row r="209" spans="6:12" x14ac:dyDescent="0.3">
      <c r="F209" s="2">
        <f t="shared" ca="1" si="23"/>
        <v>0.64500000000000013</v>
      </c>
      <c r="G209" s="2">
        <f t="shared" ca="1" si="24"/>
        <v>5.0999999999999976E-2</v>
      </c>
      <c r="H209" s="2">
        <f t="shared" ca="1" si="25"/>
        <v>0.50936170212765974</v>
      </c>
      <c r="I209" s="2">
        <f t="shared" ca="1" si="26"/>
        <v>0.78063829787234051</v>
      </c>
      <c r="J209" s="7">
        <f ca="1">+Datos!$M$4*$G$14</f>
        <v>0</v>
      </c>
      <c r="K209" s="2">
        <f ca="1">+Datos!$M$5*'Datos Distribucion'!$G$20</f>
        <v>0.16669859999999992</v>
      </c>
      <c r="L209" s="2"/>
    </row>
    <row r="210" spans="6:12" x14ac:dyDescent="0.3">
      <c r="F210" s="2">
        <f t="shared" ca="1" si="23"/>
        <v>0.64500000000000013</v>
      </c>
      <c r="G210" s="2">
        <f t="shared" ca="1" si="24"/>
        <v>5.0999999999999976E-2</v>
      </c>
      <c r="H210" s="2">
        <f t="shared" ca="1" si="25"/>
        <v>0.50936170212765974</v>
      </c>
      <c r="I210" s="2">
        <f t="shared" ca="1" si="26"/>
        <v>0.78063829787234051</v>
      </c>
      <c r="J210" s="7">
        <f ca="1">+Datos!$M$4*$G$14</f>
        <v>0</v>
      </c>
      <c r="K210" s="2">
        <f ca="1">+Datos!$M$5*'Datos Distribucion'!$G$20</f>
        <v>0.16669859999999992</v>
      </c>
      <c r="L210" s="2"/>
    </row>
    <row r="211" spans="6:12" x14ac:dyDescent="0.3">
      <c r="F211" s="2">
        <f t="shared" ca="1" si="23"/>
        <v>0.64500000000000013</v>
      </c>
      <c r="G211" s="2">
        <f t="shared" ca="1" si="24"/>
        <v>5.0999999999999976E-2</v>
      </c>
      <c r="H211" s="2">
        <f t="shared" ca="1" si="25"/>
        <v>0.50936170212765974</v>
      </c>
      <c r="I211" s="2">
        <f t="shared" ca="1" si="26"/>
        <v>0.78063829787234051</v>
      </c>
      <c r="J211" s="7">
        <f ca="1">+Datos!$M$4*$G$14</f>
        <v>0</v>
      </c>
      <c r="K211" s="2">
        <f ca="1">+Datos!$M$5*'Datos Distribucion'!$G$20</f>
        <v>0.16669859999999992</v>
      </c>
      <c r="L211" s="2"/>
    </row>
    <row r="212" spans="6:12" x14ac:dyDescent="0.3">
      <c r="F212" s="2">
        <f t="shared" ca="1" si="23"/>
        <v>0.64500000000000013</v>
      </c>
      <c r="G212" s="2">
        <f t="shared" ca="1" si="24"/>
        <v>5.0999999999999976E-2</v>
      </c>
      <c r="H212" s="2">
        <f t="shared" ca="1" si="25"/>
        <v>0.50936170212765974</v>
      </c>
      <c r="I212" s="2">
        <f t="shared" ca="1" si="26"/>
        <v>0.78063829787234051</v>
      </c>
      <c r="J212" s="7">
        <f ca="1">+Datos!$M$4*$G$14</f>
        <v>0</v>
      </c>
      <c r="K212" s="2">
        <f ca="1">+Datos!$M$5*'Datos Distribucion'!$G$20</f>
        <v>0.16669859999999992</v>
      </c>
      <c r="L212" s="2"/>
    </row>
    <row r="213" spans="6:12" x14ac:dyDescent="0.3">
      <c r="F213" s="2">
        <f t="shared" ca="1" si="23"/>
        <v>0.64500000000000013</v>
      </c>
      <c r="G213" s="2">
        <f t="shared" ca="1" si="24"/>
        <v>5.0999999999999976E-2</v>
      </c>
      <c r="H213" s="2">
        <f t="shared" ca="1" si="25"/>
        <v>0.50936170212765974</v>
      </c>
      <c r="I213" s="2">
        <f t="shared" ca="1" si="26"/>
        <v>0.78063829787234051</v>
      </c>
      <c r="J213" s="7">
        <f ca="1">+Datos!$M$4*$G$14</f>
        <v>0</v>
      </c>
      <c r="K213" s="2">
        <f ca="1">+Datos!$M$5*'Datos Distribucion'!$G$20</f>
        <v>0.16669859999999992</v>
      </c>
      <c r="L213" s="2"/>
    </row>
    <row r="214" spans="6:12" x14ac:dyDescent="0.3">
      <c r="F214" s="2">
        <f t="shared" ca="1" si="23"/>
        <v>0.64500000000000013</v>
      </c>
      <c r="G214" s="2">
        <f t="shared" ca="1" si="24"/>
        <v>5.0999999999999976E-2</v>
      </c>
      <c r="H214" s="2">
        <f t="shared" ca="1" si="25"/>
        <v>0.50936170212765974</v>
      </c>
      <c r="I214" s="2">
        <f t="shared" ca="1" si="26"/>
        <v>0.78063829787234051</v>
      </c>
      <c r="J214" s="7">
        <f ca="1">+Datos!$M$4*$G$14</f>
        <v>0</v>
      </c>
      <c r="K214" s="2">
        <f ca="1">+Datos!$M$5*'Datos Distribucion'!$G$20</f>
        <v>0.16669859999999992</v>
      </c>
      <c r="L214" s="2"/>
    </row>
    <row r="215" spans="6:12" x14ac:dyDescent="0.3">
      <c r="F215" s="2">
        <f t="shared" ca="1" si="23"/>
        <v>0.64500000000000013</v>
      </c>
      <c r="G215" s="2">
        <f t="shared" ca="1" si="24"/>
        <v>5.0999999999999976E-2</v>
      </c>
      <c r="H215" s="2">
        <f t="shared" ca="1" si="25"/>
        <v>0.50936170212765974</v>
      </c>
      <c r="I215" s="2">
        <f t="shared" ca="1" si="26"/>
        <v>0.78063829787234051</v>
      </c>
      <c r="J215" s="7">
        <f ca="1">+Datos!$M$4*$G$14</f>
        <v>0</v>
      </c>
      <c r="K215" s="2">
        <f ca="1">+Datos!$M$5*'Datos Distribucion'!$G$20</f>
        <v>0.16669859999999992</v>
      </c>
      <c r="L215" s="2"/>
    </row>
    <row r="216" spans="6:12" x14ac:dyDescent="0.3">
      <c r="F216" s="2">
        <f t="shared" ca="1" si="23"/>
        <v>0.64500000000000013</v>
      </c>
      <c r="G216" s="2">
        <f t="shared" ca="1" si="24"/>
        <v>5.0999999999999976E-2</v>
      </c>
      <c r="H216" s="2">
        <f t="shared" ca="1" si="25"/>
        <v>0.50936170212765974</v>
      </c>
      <c r="I216" s="2">
        <f t="shared" ca="1" si="26"/>
        <v>0.78063829787234051</v>
      </c>
      <c r="J216" s="7">
        <f ca="1">+Datos!$M$4*$G$14</f>
        <v>0</v>
      </c>
      <c r="K216" s="2">
        <f ca="1">+Datos!$M$5*'Datos Distribucion'!$G$20</f>
        <v>0.16669859999999992</v>
      </c>
      <c r="L216" s="2"/>
    </row>
    <row r="217" spans="6:12" x14ac:dyDescent="0.3">
      <c r="F217" s="2">
        <f t="shared" ca="1" si="23"/>
        <v>0.64500000000000013</v>
      </c>
      <c r="G217" s="2">
        <f t="shared" ca="1" si="24"/>
        <v>5.0999999999999976E-2</v>
      </c>
      <c r="H217" s="2">
        <f t="shared" ca="1" si="25"/>
        <v>0.50936170212765974</v>
      </c>
      <c r="I217" s="2">
        <f t="shared" ca="1" si="26"/>
        <v>0.78063829787234051</v>
      </c>
      <c r="J217" s="7">
        <f ca="1">+Datos!$M$4*$G$14</f>
        <v>0</v>
      </c>
      <c r="K217" s="2">
        <f ca="1">+Datos!$M$5*'Datos Distribucion'!$G$20</f>
        <v>0.16669859999999992</v>
      </c>
      <c r="L217" s="2"/>
    </row>
    <row r="218" spans="6:12" x14ac:dyDescent="0.3">
      <c r="F218" s="2">
        <f t="shared" ca="1" si="23"/>
        <v>0.64500000000000013</v>
      </c>
      <c r="G218" s="2">
        <f t="shared" ca="1" si="24"/>
        <v>5.0999999999999976E-2</v>
      </c>
      <c r="H218" s="2">
        <f t="shared" ca="1" si="25"/>
        <v>0.50936170212765974</v>
      </c>
      <c r="I218" s="2">
        <f t="shared" ca="1" si="26"/>
        <v>0.78063829787234051</v>
      </c>
      <c r="J218" s="7">
        <f ca="1">+Datos!$M$4*$G$14</f>
        <v>0</v>
      </c>
      <c r="K218" s="2">
        <f ca="1">+Datos!$M$5*'Datos Distribucion'!$G$20</f>
        <v>0.16669859999999992</v>
      </c>
      <c r="L218" s="2"/>
    </row>
    <row r="219" spans="6:12" x14ac:dyDescent="0.3">
      <c r="F219" s="2">
        <f t="shared" ca="1" si="23"/>
        <v>0.64500000000000013</v>
      </c>
      <c r="G219" s="2">
        <f t="shared" ca="1" si="24"/>
        <v>5.0999999999999976E-2</v>
      </c>
      <c r="H219" s="2">
        <f t="shared" ca="1" si="25"/>
        <v>0.50936170212765974</v>
      </c>
      <c r="I219" s="2">
        <f t="shared" ca="1" si="26"/>
        <v>0.78063829787234051</v>
      </c>
      <c r="J219" s="7">
        <f ca="1">+Datos!$M$4*$G$14</f>
        <v>0</v>
      </c>
      <c r="K219" s="2">
        <f ca="1">+Datos!$M$5*'Datos Distribucion'!$G$20</f>
        <v>0.16669859999999992</v>
      </c>
      <c r="L219" s="2"/>
    </row>
    <row r="220" spans="6:12" x14ac:dyDescent="0.3">
      <c r="F220" s="2">
        <f t="shared" ca="1" si="23"/>
        <v>0.64500000000000013</v>
      </c>
      <c r="G220" s="2">
        <f t="shared" ca="1" si="24"/>
        <v>5.0999999999999976E-2</v>
      </c>
      <c r="H220" s="2">
        <f t="shared" ca="1" si="25"/>
        <v>0.50936170212765974</v>
      </c>
      <c r="I220" s="2">
        <f t="shared" ca="1" si="26"/>
        <v>0.78063829787234051</v>
      </c>
      <c r="J220" s="7">
        <f ca="1">+Datos!$M$4*$G$14</f>
        <v>0</v>
      </c>
      <c r="K220" s="2">
        <f ca="1">+Datos!$M$5*'Datos Distribucion'!$G$20</f>
        <v>0.16669859999999992</v>
      </c>
      <c r="L220" s="2"/>
    </row>
    <row r="221" spans="6:12" x14ac:dyDescent="0.3">
      <c r="F221" s="2">
        <f t="shared" ca="1" si="23"/>
        <v>0.64500000000000013</v>
      </c>
      <c r="G221" s="2">
        <f t="shared" ca="1" si="24"/>
        <v>5.0999999999999976E-2</v>
      </c>
      <c r="H221" s="2">
        <f t="shared" ca="1" si="25"/>
        <v>0.50936170212765974</v>
      </c>
      <c r="I221" s="2">
        <f t="shared" ca="1" si="26"/>
        <v>0.78063829787234051</v>
      </c>
      <c r="J221" s="7">
        <f ca="1">+Datos!$M$4*$G$14</f>
        <v>0</v>
      </c>
      <c r="K221" s="2">
        <f ca="1">+Datos!$M$5*'Datos Distribucion'!$G$20</f>
        <v>0.16669859999999992</v>
      </c>
      <c r="L221" s="2"/>
    </row>
    <row r="222" spans="6:12" x14ac:dyDescent="0.3">
      <c r="F222" s="2">
        <f t="shared" ca="1" si="23"/>
        <v>0.64500000000000013</v>
      </c>
      <c r="G222" s="2">
        <f t="shared" ca="1" si="24"/>
        <v>5.0999999999999976E-2</v>
      </c>
      <c r="H222" s="2">
        <f t="shared" ca="1" si="25"/>
        <v>0.50936170212765974</v>
      </c>
      <c r="I222" s="2">
        <f t="shared" ca="1" si="26"/>
        <v>0.78063829787234051</v>
      </c>
      <c r="J222" s="7">
        <f ca="1">+Datos!$M$4*$G$14</f>
        <v>0</v>
      </c>
      <c r="K222" s="2">
        <f ca="1">+Datos!$M$5*'Datos Distribucion'!$G$20</f>
        <v>0.16669859999999992</v>
      </c>
      <c r="L222" s="2"/>
    </row>
    <row r="223" spans="6:12" x14ac:dyDescent="0.3">
      <c r="F223" s="2">
        <f t="shared" ca="1" si="23"/>
        <v>0.64500000000000013</v>
      </c>
      <c r="G223" s="2">
        <f t="shared" ca="1" si="24"/>
        <v>5.0999999999999976E-2</v>
      </c>
      <c r="H223" s="2">
        <f t="shared" ca="1" si="25"/>
        <v>0.50936170212765974</v>
      </c>
      <c r="I223" s="2">
        <f t="shared" ca="1" si="26"/>
        <v>0.78063829787234051</v>
      </c>
      <c r="J223" s="7">
        <f ca="1">+Datos!$M$4*$G$14</f>
        <v>0</v>
      </c>
      <c r="K223" s="2">
        <f ca="1">+Datos!$M$5*'Datos Distribucion'!$G$20</f>
        <v>0.16669859999999992</v>
      </c>
      <c r="L223" s="2"/>
    </row>
    <row r="224" spans="6:12" x14ac:dyDescent="0.3">
      <c r="F224" s="2">
        <f t="shared" ca="1" si="23"/>
        <v>0.64500000000000013</v>
      </c>
      <c r="G224" s="2">
        <f t="shared" ca="1" si="24"/>
        <v>5.0999999999999976E-2</v>
      </c>
      <c r="H224" s="2">
        <f t="shared" ca="1" si="25"/>
        <v>0.50936170212765974</v>
      </c>
      <c r="I224" s="2">
        <f t="shared" ca="1" si="26"/>
        <v>0.78063829787234051</v>
      </c>
      <c r="J224" s="7">
        <f ca="1">+Datos!$M$4*$G$14</f>
        <v>0</v>
      </c>
      <c r="K224" s="2">
        <f ca="1">+Datos!$M$5*'Datos Distribucion'!$G$20</f>
        <v>0.16669859999999992</v>
      </c>
      <c r="L224" s="2"/>
    </row>
    <row r="225" spans="6:12" x14ac:dyDescent="0.3">
      <c r="F225" s="2">
        <f t="shared" ca="1" si="23"/>
        <v>0.64500000000000013</v>
      </c>
      <c r="G225" s="2">
        <f t="shared" ca="1" si="24"/>
        <v>5.0999999999999976E-2</v>
      </c>
      <c r="H225" s="2">
        <f t="shared" ca="1" si="25"/>
        <v>0.50936170212765974</v>
      </c>
      <c r="I225" s="2">
        <f t="shared" ca="1" si="26"/>
        <v>0.78063829787234051</v>
      </c>
      <c r="J225" s="7">
        <f ca="1">+Datos!$M$4*$G$14</f>
        <v>0</v>
      </c>
      <c r="K225" s="2">
        <f ca="1">+Datos!$M$5*'Datos Distribucion'!$G$20</f>
        <v>0.16669859999999992</v>
      </c>
      <c r="L225" s="2"/>
    </row>
    <row r="226" spans="6:12" x14ac:dyDescent="0.3">
      <c r="F226" s="2">
        <f t="shared" ca="1" si="23"/>
        <v>0.64500000000000013</v>
      </c>
      <c r="G226" s="2">
        <f t="shared" ca="1" si="24"/>
        <v>5.0999999999999976E-2</v>
      </c>
      <c r="H226" s="2">
        <f t="shared" ca="1" si="25"/>
        <v>0.50936170212765974</v>
      </c>
      <c r="I226" s="2">
        <f t="shared" ca="1" si="26"/>
        <v>0.78063829787234051</v>
      </c>
      <c r="J226" s="7">
        <f ca="1">+Datos!$M$4*$G$14</f>
        <v>0</v>
      </c>
      <c r="K226" s="2">
        <f ca="1">+Datos!$M$5*'Datos Distribucion'!$G$20</f>
        <v>0.16669859999999992</v>
      </c>
      <c r="L226" s="2"/>
    </row>
    <row r="227" spans="6:12" x14ac:dyDescent="0.3">
      <c r="F227" s="2">
        <f t="shared" ca="1" si="23"/>
        <v>0.64500000000000013</v>
      </c>
      <c r="G227" s="2">
        <f t="shared" ca="1" si="24"/>
        <v>5.0999999999999976E-2</v>
      </c>
      <c r="H227" s="2">
        <f t="shared" ca="1" si="25"/>
        <v>0.50936170212765974</v>
      </c>
      <c r="I227" s="2">
        <f t="shared" ca="1" si="26"/>
        <v>0.78063829787234051</v>
      </c>
      <c r="J227" s="7">
        <f ca="1">+Datos!$M$4*$G$14</f>
        <v>0</v>
      </c>
      <c r="K227" s="2">
        <f ca="1">+Datos!$M$5*'Datos Distribucion'!$G$20</f>
        <v>0.16669859999999992</v>
      </c>
      <c r="L227" s="2"/>
    </row>
    <row r="228" spans="6:12" x14ac:dyDescent="0.3">
      <c r="F228" s="2">
        <f t="shared" ca="1" si="23"/>
        <v>0.64500000000000013</v>
      </c>
      <c r="G228" s="2">
        <f t="shared" ca="1" si="24"/>
        <v>5.0999999999999976E-2</v>
      </c>
      <c r="H228" s="2">
        <f t="shared" ca="1" si="25"/>
        <v>0.50936170212765974</v>
      </c>
      <c r="I228" s="2">
        <f t="shared" ca="1" si="26"/>
        <v>0.78063829787234051</v>
      </c>
      <c r="J228" s="7">
        <f ca="1">+Datos!$M$4*$G$14</f>
        <v>0</v>
      </c>
      <c r="K228" s="2">
        <f ca="1">+Datos!$M$5*'Datos Distribucion'!$G$20</f>
        <v>0.16669859999999992</v>
      </c>
      <c r="L228" s="2"/>
    </row>
    <row r="229" spans="6:12" x14ac:dyDescent="0.3">
      <c r="F229" s="2">
        <f t="shared" ca="1" si="23"/>
        <v>0.64500000000000013</v>
      </c>
      <c r="G229" s="2">
        <f t="shared" ca="1" si="24"/>
        <v>5.0999999999999976E-2</v>
      </c>
      <c r="H229" s="2">
        <f t="shared" ca="1" si="25"/>
        <v>0.50936170212765974</v>
      </c>
      <c r="I229" s="2">
        <f t="shared" ca="1" si="26"/>
        <v>0.78063829787234051</v>
      </c>
      <c r="J229" s="7">
        <f ca="1">+Datos!$M$4*$G$14</f>
        <v>0</v>
      </c>
      <c r="K229" s="2">
        <f ca="1">+Datos!$M$5*'Datos Distribucion'!$G$20</f>
        <v>0.16669859999999992</v>
      </c>
      <c r="L229" s="2"/>
    </row>
    <row r="230" spans="6:12" x14ac:dyDescent="0.3">
      <c r="F230" s="2">
        <f t="shared" ca="1" si="23"/>
        <v>0.64500000000000013</v>
      </c>
      <c r="G230" s="2">
        <f t="shared" ca="1" si="24"/>
        <v>5.0999999999999976E-2</v>
      </c>
      <c r="H230" s="2">
        <f t="shared" ca="1" si="25"/>
        <v>0.50936170212765974</v>
      </c>
      <c r="I230" s="2">
        <f t="shared" ca="1" si="26"/>
        <v>0.78063829787234051</v>
      </c>
      <c r="J230" s="7">
        <f ca="1">+Datos!$M$4*$G$14</f>
        <v>0</v>
      </c>
      <c r="K230" s="2">
        <f ca="1">+Datos!$M$5*'Datos Distribucion'!$G$20</f>
        <v>0.16669859999999992</v>
      </c>
      <c r="L230" s="2"/>
    </row>
    <row r="231" spans="6:12" x14ac:dyDescent="0.3">
      <c r="F231" s="2">
        <f t="shared" ca="1" si="23"/>
        <v>0.64500000000000013</v>
      </c>
      <c r="G231" s="2">
        <f t="shared" ca="1" si="24"/>
        <v>5.0999999999999976E-2</v>
      </c>
      <c r="H231" s="2">
        <f t="shared" ca="1" si="25"/>
        <v>0.50936170212765974</v>
      </c>
      <c r="I231" s="2">
        <f t="shared" ca="1" si="26"/>
        <v>0.78063829787234051</v>
      </c>
      <c r="J231" s="7">
        <f ca="1">+Datos!$M$4*$G$14</f>
        <v>0</v>
      </c>
      <c r="K231" s="2">
        <f ca="1">+Datos!$M$5*'Datos Distribucion'!$G$20</f>
        <v>0.16669859999999992</v>
      </c>
      <c r="L231" s="2"/>
    </row>
    <row r="232" spans="6:12" x14ac:dyDescent="0.3">
      <c r="F232" s="2">
        <f t="shared" ca="1" si="23"/>
        <v>0.64500000000000013</v>
      </c>
      <c r="G232" s="2">
        <f t="shared" ca="1" si="24"/>
        <v>5.0999999999999976E-2</v>
      </c>
      <c r="H232" s="2">
        <f t="shared" ca="1" si="25"/>
        <v>0.50936170212765974</v>
      </c>
      <c r="I232" s="2">
        <f t="shared" ca="1" si="26"/>
        <v>0.78063829787234051</v>
      </c>
      <c r="J232" s="7">
        <f ca="1">+Datos!$M$4*$G$14</f>
        <v>0</v>
      </c>
      <c r="K232" s="2">
        <f ca="1">+Datos!$M$5*'Datos Distribucion'!$G$20</f>
        <v>0.16669859999999992</v>
      </c>
      <c r="L232" s="2"/>
    </row>
    <row r="233" spans="6:12" x14ac:dyDescent="0.3">
      <c r="F233" s="2">
        <f t="shared" ca="1" si="23"/>
        <v>0.64500000000000013</v>
      </c>
      <c r="G233" s="2">
        <f t="shared" ca="1" si="24"/>
        <v>5.0999999999999976E-2</v>
      </c>
      <c r="H233" s="2">
        <f t="shared" ca="1" si="25"/>
        <v>0.50936170212765974</v>
      </c>
      <c r="I233" s="2">
        <f t="shared" ca="1" si="26"/>
        <v>0.78063829787234051</v>
      </c>
      <c r="J233" s="7">
        <f ca="1">+Datos!$M$4*$G$14</f>
        <v>0</v>
      </c>
      <c r="K233" s="2">
        <f ca="1">+Datos!$M$5*'Datos Distribucion'!$G$20</f>
        <v>0.16669859999999992</v>
      </c>
      <c r="L233" s="2"/>
    </row>
    <row r="234" spans="6:12" x14ac:dyDescent="0.3">
      <c r="F234" s="2">
        <f t="shared" ca="1" si="23"/>
        <v>0.64500000000000013</v>
      </c>
      <c r="G234" s="2">
        <f t="shared" ca="1" si="24"/>
        <v>5.0999999999999976E-2</v>
      </c>
      <c r="H234" s="2">
        <f t="shared" ca="1" si="25"/>
        <v>0.50936170212765974</v>
      </c>
      <c r="I234" s="2">
        <f t="shared" ca="1" si="26"/>
        <v>0.78063829787234051</v>
      </c>
      <c r="J234" s="7">
        <f ca="1">+Datos!$M$4*$G$14</f>
        <v>0</v>
      </c>
      <c r="K234" s="2">
        <f ca="1">+Datos!$M$5*'Datos Distribucion'!$G$20</f>
        <v>0.16669859999999992</v>
      </c>
      <c r="L234" s="2"/>
    </row>
    <row r="235" spans="6:12" x14ac:dyDescent="0.3">
      <c r="F235" s="2">
        <f t="shared" ca="1" si="23"/>
        <v>0.64500000000000013</v>
      </c>
      <c r="G235" s="2">
        <f t="shared" ca="1" si="24"/>
        <v>5.0999999999999976E-2</v>
      </c>
      <c r="H235" s="2">
        <f t="shared" ca="1" si="25"/>
        <v>0.50936170212765974</v>
      </c>
      <c r="I235" s="2">
        <f t="shared" ca="1" si="26"/>
        <v>0.78063829787234051</v>
      </c>
      <c r="J235" s="7">
        <f ca="1">+Datos!$M$4*$G$14</f>
        <v>0</v>
      </c>
      <c r="K235" s="2">
        <f ca="1">+Datos!$M$5*'Datos Distribucion'!$G$20</f>
        <v>0.16669859999999992</v>
      </c>
      <c r="L235" s="2"/>
    </row>
    <row r="236" spans="6:12" x14ac:dyDescent="0.3">
      <c r="F236" s="2">
        <f t="shared" ca="1" si="23"/>
        <v>0.64500000000000013</v>
      </c>
      <c r="G236" s="2">
        <f t="shared" ca="1" si="24"/>
        <v>5.0999999999999976E-2</v>
      </c>
      <c r="H236" s="2">
        <f t="shared" ca="1" si="25"/>
        <v>0.50936170212765974</v>
      </c>
      <c r="I236" s="2">
        <f t="shared" ca="1" si="26"/>
        <v>0.78063829787234051</v>
      </c>
      <c r="J236" s="7">
        <f ca="1">+Datos!$M$4*$G$14</f>
        <v>0</v>
      </c>
      <c r="K236" s="2">
        <f ca="1">+Datos!$M$5*'Datos Distribucion'!$G$20</f>
        <v>0.16669859999999992</v>
      </c>
      <c r="L236" s="2"/>
    </row>
    <row r="237" spans="6:12" x14ac:dyDescent="0.3">
      <c r="F237" s="2">
        <f t="shared" ca="1" si="23"/>
        <v>0.64500000000000013</v>
      </c>
      <c r="G237" s="2">
        <f t="shared" ca="1" si="24"/>
        <v>5.0999999999999976E-2</v>
      </c>
      <c r="H237" s="2">
        <f t="shared" ca="1" si="25"/>
        <v>0.50936170212765974</v>
      </c>
      <c r="I237" s="2">
        <f t="shared" ca="1" si="26"/>
        <v>0.78063829787234051</v>
      </c>
      <c r="J237" s="7">
        <f ca="1">+Datos!$M$4*$G$14</f>
        <v>0</v>
      </c>
      <c r="K237" s="2">
        <f ca="1">+Datos!$M$5*'Datos Distribucion'!$G$20</f>
        <v>0.16669859999999992</v>
      </c>
      <c r="L237" s="2"/>
    </row>
  </sheetData>
  <sheetProtection algorithmName="SHA-512" hashValue="F0KNswYJq7LqqLj0sPjRbe1oqsZPkMHZ6L6fEBk3je3+l7126kXZRvj94z5dFJVtjHaV4lKgeWn6cdBBOV23sQ==" saltValue="U8zvdryLYubr0GL6BHbL3g==" spinCount="100000" sheet="1" objects="1" scenarios="1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A5663-07B8-4948-8CBC-E0BBC95C4851}">
  <sheetPr codeName="Hoja4"/>
  <dimension ref="A1:J94"/>
  <sheetViews>
    <sheetView workbookViewId="0">
      <selection activeCell="C11" sqref="C11"/>
    </sheetView>
  </sheetViews>
  <sheetFormatPr baseColWidth="10" defaultRowHeight="14.4" x14ac:dyDescent="0.3"/>
  <cols>
    <col min="1" max="1" width="12.88671875" bestFit="1" customWidth="1"/>
    <col min="5" max="5" width="13.77734375" bestFit="1" customWidth="1"/>
    <col min="10" max="10" width="25.21875" customWidth="1"/>
  </cols>
  <sheetData>
    <row r="1" spans="1:10" x14ac:dyDescent="0.3">
      <c r="A1" s="10" t="s">
        <v>22</v>
      </c>
      <c r="B1" s="10"/>
      <c r="E1" s="10" t="s">
        <v>36</v>
      </c>
      <c r="F1" s="10"/>
      <c r="G1" s="10"/>
      <c r="H1" s="10"/>
      <c r="J1" t="s">
        <v>37</v>
      </c>
    </row>
    <row r="2" spans="1:10" x14ac:dyDescent="0.3">
      <c r="A2" t="s">
        <v>19</v>
      </c>
      <c r="B2" s="2">
        <f ca="1">+AVERAGE(espesor)</f>
        <v>0.64500000000000013</v>
      </c>
      <c r="D2" s="5" t="s">
        <v>31</v>
      </c>
      <c r="E2" t="s">
        <v>27</v>
      </c>
      <c r="F2" t="s">
        <v>28</v>
      </c>
      <c r="G2" t="s">
        <v>29</v>
      </c>
      <c r="H2" t="s">
        <v>30</v>
      </c>
      <c r="I2" t="s">
        <v>32</v>
      </c>
      <c r="J2" t="s">
        <v>33</v>
      </c>
    </row>
    <row r="3" spans="1:10" x14ac:dyDescent="0.3">
      <c r="A3" t="s">
        <v>20</v>
      </c>
      <c r="B3" s="2">
        <f ca="1">+MEDIAN(espesor)</f>
        <v>0.65</v>
      </c>
      <c r="D3" cm="1">
        <f t="array" aca="1" ref="D3:D52" ca="1">+_xlfn.SEQUENCE(COUNT(espesor),1)</f>
        <v>1</v>
      </c>
      <c r="E3" cm="1">
        <f t="array" aca="1" ref="E3:E52" ca="1">+_xlfn._xlws.SORT(espesor,1,1)</f>
        <v>0.51</v>
      </c>
      <c r="F3" s="2">
        <f t="shared" ref="F3:F34" ca="1" si="0">+(E3-$B$2)/$B$5</f>
        <v>-2.4643324402487941</v>
      </c>
      <c r="G3">
        <f t="shared" ref="G3:G34" ca="1" si="1">+_xlfn.NORM.S.DIST(F3,TRUE)</f>
        <v>6.8634364343422016E-3</v>
      </c>
      <c r="H3">
        <f t="shared" ref="H3:H34" ca="1" si="2">1-G3</f>
        <v>0.99313656356565783</v>
      </c>
      <c r="I3">
        <f t="shared" ref="I3:I34" ca="1" si="3">+SMALL($H$3:$H$94,D3)</f>
        <v>6.8634364343422849E-3</v>
      </c>
      <c r="J3">
        <f t="shared" ref="J3:J34" ca="1" si="4">+(2*D3-1)*(LN(G3)+LN(I3))</f>
        <v>-9.9630940494422155</v>
      </c>
    </row>
    <row r="4" spans="1:10" x14ac:dyDescent="0.3">
      <c r="A4" t="s">
        <v>21</v>
      </c>
      <c r="B4" s="2">
        <f ca="1">+_xlfn.MODE.SNGL(espesor)</f>
        <v>0.66</v>
      </c>
      <c r="D4">
        <f ca="1"/>
        <v>2</v>
      </c>
      <c r="E4">
        <f ca="1"/>
        <v>0.51</v>
      </c>
      <c r="F4" s="2">
        <f t="shared" ca="1" si="0"/>
        <v>-2.4643324402487941</v>
      </c>
      <c r="G4">
        <f t="shared" ca="1" si="1"/>
        <v>6.8634364343422016E-3</v>
      </c>
      <c r="H4">
        <f t="shared" ca="1" si="2"/>
        <v>0.99313656356565783</v>
      </c>
      <c r="I4">
        <f t="shared" ca="1" si="3"/>
        <v>6.0376979835885192E-2</v>
      </c>
      <c r="J4">
        <f t="shared" ca="1" si="4"/>
        <v>-23.366083199866118</v>
      </c>
    </row>
    <row r="5" spans="1:10" x14ac:dyDescent="0.3">
      <c r="A5" t="s">
        <v>23</v>
      </c>
      <c r="B5" s="2">
        <f ca="1">+_xlfn.STDEV.S(espesor)</f>
        <v>5.4781569968040025E-2</v>
      </c>
      <c r="D5">
        <f ca="1"/>
        <v>3</v>
      </c>
      <c r="E5">
        <f ca="1"/>
        <v>0.53</v>
      </c>
      <c r="F5" s="2">
        <f t="shared" ca="1" si="0"/>
        <v>-2.0992461528045281</v>
      </c>
      <c r="G5">
        <f t="shared" ca="1" si="1"/>
        <v>1.7897603729009962E-2</v>
      </c>
      <c r="H5">
        <f t="shared" ca="1" si="2"/>
        <v>0.98210239627099005</v>
      </c>
      <c r="I5">
        <f t="shared" ca="1" si="3"/>
        <v>0.11770644497961014</v>
      </c>
      <c r="J5">
        <f t="shared" ca="1" si="4"/>
        <v>-30.813249767569193</v>
      </c>
    </row>
    <row r="6" spans="1:10" x14ac:dyDescent="0.3">
      <c r="A6" t="s">
        <v>24</v>
      </c>
      <c r="B6">
        <f ca="1">+KURT(espesor)</f>
        <v>0.87663987917002739</v>
      </c>
      <c r="D6">
        <f ca="1"/>
        <v>4</v>
      </c>
      <c r="E6">
        <f ca="1"/>
        <v>0.53</v>
      </c>
      <c r="F6" s="2">
        <f t="shared" ca="1" si="0"/>
        <v>-2.0992461528045281</v>
      </c>
      <c r="G6">
        <f t="shared" ca="1" si="1"/>
        <v>1.7897603729009962E-2</v>
      </c>
      <c r="H6">
        <f t="shared" ca="1" si="2"/>
        <v>0.98210239627099005</v>
      </c>
      <c r="I6">
        <f t="shared" ca="1" si="3"/>
        <v>0.11770644497961014</v>
      </c>
      <c r="J6">
        <f t="shared" ca="1" si="4"/>
        <v>-43.138549674596874</v>
      </c>
    </row>
    <row r="7" spans="1:10" x14ac:dyDescent="0.3">
      <c r="A7" t="s">
        <v>25</v>
      </c>
      <c r="B7">
        <f ca="1">+SKEW(espesor)</f>
        <v>-0.60865817855327642</v>
      </c>
      <c r="D7">
        <f ca="1"/>
        <v>5</v>
      </c>
      <c r="E7">
        <f ca="1"/>
        <v>0.56000000000000005</v>
      </c>
      <c r="F7" s="2">
        <f t="shared" ca="1" si="0"/>
        <v>-1.5516167216381296</v>
      </c>
      <c r="G7">
        <f t="shared" ca="1" si="1"/>
        <v>6.0376979835884713E-2</v>
      </c>
      <c r="H7">
        <f t="shared" ca="1" si="2"/>
        <v>0.93962302016411525</v>
      </c>
      <c r="I7">
        <f t="shared" ca="1" si="3"/>
        <v>0.1576923698460565</v>
      </c>
      <c r="J7">
        <f t="shared" ca="1" si="4"/>
        <v>-41.888308908598553</v>
      </c>
    </row>
    <row r="8" spans="1:10" x14ac:dyDescent="0.3">
      <c r="A8" t="s">
        <v>26</v>
      </c>
      <c r="B8">
        <f ca="1">+COUNT(espesor)</f>
        <v>50</v>
      </c>
      <c r="D8">
        <f ca="1"/>
        <v>6</v>
      </c>
      <c r="E8">
        <f ca="1"/>
        <v>0.57999999999999996</v>
      </c>
      <c r="F8" s="2">
        <f t="shared" ca="1" si="0"/>
        <v>-1.1865304341938658</v>
      </c>
      <c r="G8">
        <f t="shared" ca="1" si="1"/>
        <v>0.11770644497960885</v>
      </c>
      <c r="H8">
        <f t="shared" ca="1" si="2"/>
        <v>0.8822935550203912</v>
      </c>
      <c r="I8">
        <f t="shared" ca="1" si="3"/>
        <v>0.1576923698460565</v>
      </c>
      <c r="J8">
        <f t="shared" ca="1" si="4"/>
        <v>-43.853377465644016</v>
      </c>
    </row>
    <row r="9" spans="1:10" x14ac:dyDescent="0.3">
      <c r="D9">
        <f ca="1"/>
        <v>7</v>
      </c>
      <c r="E9">
        <f ca="1"/>
        <v>0.59</v>
      </c>
      <c r="F9" s="2">
        <f t="shared" ca="1" si="0"/>
        <v>-1.0039872904717329</v>
      </c>
      <c r="G9">
        <f t="shared" ca="1" si="1"/>
        <v>0.15769236984605503</v>
      </c>
      <c r="H9">
        <f t="shared" ca="1" si="2"/>
        <v>0.84230763015394494</v>
      </c>
      <c r="I9">
        <f t="shared" ca="1" si="3"/>
        <v>0.1576923698460565</v>
      </c>
      <c r="J9">
        <f t="shared" ca="1" si="4"/>
        <v>-48.024838424305031</v>
      </c>
    </row>
    <row r="10" spans="1:10" x14ac:dyDescent="0.3">
      <c r="A10" t="s">
        <v>34</v>
      </c>
      <c r="B10" t="e">
        <f ca="1">+-1*B8-(1/B8)*SUM(J3:J94)</f>
        <v>#NUM!</v>
      </c>
      <c r="D10">
        <f ca="1"/>
        <v>8</v>
      </c>
      <c r="E10">
        <f ca="1"/>
        <v>0.59</v>
      </c>
      <c r="F10" s="2">
        <f t="shared" ca="1" si="0"/>
        <v>-1.0039872904717329</v>
      </c>
      <c r="G10">
        <f t="shared" ca="1" si="1"/>
        <v>0.15769236984605503</v>
      </c>
      <c r="H10">
        <f t="shared" ca="1" si="2"/>
        <v>0.84230763015394494</v>
      </c>
      <c r="I10">
        <f t="shared" ca="1" si="3"/>
        <v>0.1576923698460565</v>
      </c>
      <c r="J10">
        <f t="shared" ca="1" si="4"/>
        <v>-55.413275104967347</v>
      </c>
    </row>
    <row r="11" spans="1:10" x14ac:dyDescent="0.3">
      <c r="A11" t="s">
        <v>35</v>
      </c>
      <c r="B11" t="e">
        <f ca="1">+B10*(1+0.75/B8+2.25/B8^2)</f>
        <v>#NUM!</v>
      </c>
      <c r="D11">
        <f ca="1"/>
        <v>9</v>
      </c>
      <c r="E11">
        <f ca="1"/>
        <v>0.6</v>
      </c>
      <c r="F11" s="2">
        <f t="shared" ca="1" si="0"/>
        <v>-0.82144414674959998</v>
      </c>
      <c r="G11">
        <f t="shared" ca="1" si="1"/>
        <v>0.20569666303071427</v>
      </c>
      <c r="H11">
        <f t="shared" ca="1" si="2"/>
        <v>0.79430333696928579</v>
      </c>
      <c r="I11">
        <f t="shared" ca="1" si="3"/>
        <v>0.20569666303071599</v>
      </c>
      <c r="J11">
        <f t="shared" ca="1" si="4"/>
        <v>-53.765991968634658</v>
      </c>
    </row>
    <row r="12" spans="1:10" x14ac:dyDescent="0.3">
      <c r="D12">
        <f ca="1"/>
        <v>10</v>
      </c>
      <c r="E12">
        <f ca="1"/>
        <v>0.6</v>
      </c>
      <c r="F12" s="2">
        <f t="shared" ca="1" si="0"/>
        <v>-0.82144414674959998</v>
      </c>
      <c r="G12">
        <f t="shared" ca="1" si="1"/>
        <v>0.20569666303071427</v>
      </c>
      <c r="H12">
        <f t="shared" ca="1" si="2"/>
        <v>0.79430333696928579</v>
      </c>
      <c r="I12">
        <f t="shared" ca="1" si="3"/>
        <v>0.20569666303071599</v>
      </c>
      <c r="J12">
        <f t="shared" ca="1" si="4"/>
        <v>-60.091402788474028</v>
      </c>
    </row>
    <row r="13" spans="1:10" x14ac:dyDescent="0.3">
      <c r="A13" t="s">
        <v>38</v>
      </c>
      <c r="B13" t="s">
        <v>39</v>
      </c>
      <c r="D13">
        <f ca="1"/>
        <v>11</v>
      </c>
      <c r="E13">
        <f ca="1"/>
        <v>0.61</v>
      </c>
      <c r="F13" s="2">
        <f t="shared" ca="1" si="0"/>
        <v>-0.63890100302746711</v>
      </c>
      <c r="G13">
        <f t="shared" ca="1" si="1"/>
        <v>0.26144366772916139</v>
      </c>
      <c r="H13">
        <f t="shared" ca="1" si="2"/>
        <v>0.73855633227083861</v>
      </c>
      <c r="I13">
        <f t="shared" ca="1" si="3"/>
        <v>0.20569666303071599</v>
      </c>
      <c r="J13">
        <f t="shared" ca="1" si="4"/>
        <v>-61.380672011755564</v>
      </c>
    </row>
    <row r="14" spans="1:10" x14ac:dyDescent="0.3">
      <c r="D14">
        <f ca="1"/>
        <v>12</v>
      </c>
      <c r="E14">
        <f ca="1"/>
        <v>0.61</v>
      </c>
      <c r="F14" s="2">
        <f t="shared" ca="1" si="0"/>
        <v>-0.63890100302746711</v>
      </c>
      <c r="G14">
        <f t="shared" ca="1" si="1"/>
        <v>0.26144366772916139</v>
      </c>
      <c r="H14">
        <f t="shared" ca="1" si="2"/>
        <v>0.73855633227083861</v>
      </c>
      <c r="I14">
        <f t="shared" ca="1" si="3"/>
        <v>0.26144366772916272</v>
      </c>
      <c r="J14">
        <f t="shared" ca="1" si="4"/>
        <v>-61.710676169026172</v>
      </c>
    </row>
    <row r="15" spans="1:10" x14ac:dyDescent="0.3">
      <c r="D15">
        <f ca="1"/>
        <v>13</v>
      </c>
      <c r="E15">
        <f ca="1"/>
        <v>0.63</v>
      </c>
      <c r="F15" s="2">
        <f t="shared" ca="1" si="0"/>
        <v>-0.27381471558320136</v>
      </c>
      <c r="G15">
        <f t="shared" ca="1" si="1"/>
        <v>0.39211350713073823</v>
      </c>
      <c r="H15">
        <f t="shared" ca="1" si="2"/>
        <v>0.60788649286926177</v>
      </c>
      <c r="I15">
        <f t="shared" ca="1" si="3"/>
        <v>0.26144366772916272</v>
      </c>
      <c r="J15">
        <f t="shared" ca="1" si="4"/>
        <v>-56.943509013897398</v>
      </c>
    </row>
    <row r="16" spans="1:10" x14ac:dyDescent="0.3">
      <c r="D16">
        <f ca="1"/>
        <v>14</v>
      </c>
      <c r="E16">
        <f ca="1"/>
        <v>0.63</v>
      </c>
      <c r="F16" s="2">
        <f t="shared" ca="1" si="0"/>
        <v>-0.27381471558320136</v>
      </c>
      <c r="G16">
        <f t="shared" ca="1" si="1"/>
        <v>0.39211350713073823</v>
      </c>
      <c r="H16">
        <f t="shared" ca="1" si="2"/>
        <v>0.60788649286926177</v>
      </c>
      <c r="I16">
        <f t="shared" ca="1" si="3"/>
        <v>0.26144366772916272</v>
      </c>
      <c r="J16">
        <f t="shared" ca="1" si="4"/>
        <v>-61.498989735009189</v>
      </c>
    </row>
    <row r="17" spans="4:10" x14ac:dyDescent="0.3">
      <c r="D17">
        <f ca="1"/>
        <v>15</v>
      </c>
      <c r="E17">
        <f ca="1"/>
        <v>0.63</v>
      </c>
      <c r="F17" s="2">
        <f t="shared" ca="1" si="0"/>
        <v>-0.27381471558320136</v>
      </c>
      <c r="G17">
        <f t="shared" ca="1" si="1"/>
        <v>0.39211350713073823</v>
      </c>
      <c r="H17">
        <f t="shared" ca="1" si="2"/>
        <v>0.60788649286926177</v>
      </c>
      <c r="I17">
        <f t="shared" ca="1" si="3"/>
        <v>0.3240663318744067</v>
      </c>
      <c r="J17">
        <f t="shared" ca="1" si="4"/>
        <v>-59.827318368818062</v>
      </c>
    </row>
    <row r="18" spans="4:10" x14ac:dyDescent="0.3">
      <c r="D18">
        <f ca="1"/>
        <v>16</v>
      </c>
      <c r="E18">
        <f ca="1"/>
        <v>0.63</v>
      </c>
      <c r="F18" s="2">
        <f t="shared" ca="1" si="0"/>
        <v>-0.27381471558320136</v>
      </c>
      <c r="G18">
        <f t="shared" ca="1" si="1"/>
        <v>0.39211350713073823</v>
      </c>
      <c r="H18">
        <f t="shared" ca="1" si="2"/>
        <v>0.60788649286926177</v>
      </c>
      <c r="I18">
        <f t="shared" ca="1" si="3"/>
        <v>0.3240663318744067</v>
      </c>
      <c r="J18">
        <f t="shared" ca="1" si="4"/>
        <v>-63.953340325288274</v>
      </c>
    </row>
    <row r="19" spans="4:10" x14ac:dyDescent="0.3">
      <c r="D19">
        <f ca="1"/>
        <v>17</v>
      </c>
      <c r="E19">
        <f ca="1"/>
        <v>0.64</v>
      </c>
      <c r="F19" s="2">
        <f t="shared" ca="1" si="0"/>
        <v>-9.1271571861068462E-2</v>
      </c>
      <c r="G19">
        <f t="shared" ca="1" si="1"/>
        <v>0.46363840302629417</v>
      </c>
      <c r="H19">
        <f t="shared" ca="1" si="2"/>
        <v>0.53636159697370589</v>
      </c>
      <c r="I19">
        <f t="shared" ca="1" si="3"/>
        <v>0.3240663318744067</v>
      </c>
      <c r="J19">
        <f t="shared" ca="1" si="4"/>
        <v>-62.550093887486668</v>
      </c>
    </row>
    <row r="20" spans="4:10" x14ac:dyDescent="0.3">
      <c r="D20">
        <f ca="1"/>
        <v>18</v>
      </c>
      <c r="E20">
        <f ca="1"/>
        <v>0.64</v>
      </c>
      <c r="F20" s="2">
        <f t="shared" ca="1" si="0"/>
        <v>-9.1271571861068462E-2</v>
      </c>
      <c r="G20">
        <f t="shared" ca="1" si="1"/>
        <v>0.46363840302629417</v>
      </c>
      <c r="H20">
        <f t="shared" ca="1" si="2"/>
        <v>0.53636159697370589</v>
      </c>
      <c r="I20">
        <f t="shared" ca="1" si="3"/>
        <v>0.39211350713073978</v>
      </c>
      <c r="J20">
        <f t="shared" ca="1" si="4"/>
        <v>-59.669898977234148</v>
      </c>
    </row>
    <row r="21" spans="4:10" x14ac:dyDescent="0.3">
      <c r="D21">
        <f ca="1"/>
        <v>19</v>
      </c>
      <c r="E21">
        <f ca="1"/>
        <v>0.64</v>
      </c>
      <c r="F21" s="2">
        <f t="shared" ca="1" si="0"/>
        <v>-9.1271571861068462E-2</v>
      </c>
      <c r="G21">
        <f t="shared" ca="1" si="1"/>
        <v>0.46363840302629417</v>
      </c>
      <c r="H21">
        <f t="shared" ca="1" si="2"/>
        <v>0.53636159697370589</v>
      </c>
      <c r="I21">
        <f t="shared" ca="1" si="3"/>
        <v>0.39211350713073978</v>
      </c>
      <c r="J21">
        <f t="shared" ca="1" si="4"/>
        <v>-63.079607490218962</v>
      </c>
    </row>
    <row r="22" spans="4:10" x14ac:dyDescent="0.3">
      <c r="D22">
        <f ca="1"/>
        <v>20</v>
      </c>
      <c r="E22">
        <f ca="1"/>
        <v>0.64</v>
      </c>
      <c r="F22" s="2">
        <f t="shared" ca="1" si="0"/>
        <v>-9.1271571861068462E-2</v>
      </c>
      <c r="G22">
        <f t="shared" ca="1" si="1"/>
        <v>0.46363840302629417</v>
      </c>
      <c r="H22">
        <f t="shared" ca="1" si="2"/>
        <v>0.53636159697370589</v>
      </c>
      <c r="I22">
        <f t="shared" ca="1" si="3"/>
        <v>0.39211350713073978</v>
      </c>
      <c r="J22">
        <f t="shared" ca="1" si="4"/>
        <v>-66.489316003203768</v>
      </c>
    </row>
    <row r="23" spans="4:10" x14ac:dyDescent="0.3">
      <c r="D23">
        <f ca="1"/>
        <v>21</v>
      </c>
      <c r="E23">
        <f ca="1"/>
        <v>0.64</v>
      </c>
      <c r="F23" s="2">
        <f t="shared" ca="1" si="0"/>
        <v>-9.1271571861068462E-2</v>
      </c>
      <c r="G23">
        <f t="shared" ca="1" si="1"/>
        <v>0.46363840302629417</v>
      </c>
      <c r="H23">
        <f t="shared" ca="1" si="2"/>
        <v>0.53636159697370589</v>
      </c>
      <c r="I23">
        <f t="shared" ca="1" si="3"/>
        <v>0.39211350713073978</v>
      </c>
      <c r="J23">
        <f t="shared" ca="1" si="4"/>
        <v>-69.899024516188575</v>
      </c>
    </row>
    <row r="24" spans="4:10" x14ac:dyDescent="0.3">
      <c r="D24">
        <f ca="1"/>
        <v>22</v>
      </c>
      <c r="E24">
        <f ca="1"/>
        <v>0.65</v>
      </c>
      <c r="F24" s="2">
        <f t="shared" ca="1" si="0"/>
        <v>9.127157186106441E-2</v>
      </c>
      <c r="G24">
        <f t="shared" ca="1" si="1"/>
        <v>0.53636159697370422</v>
      </c>
      <c r="H24">
        <f t="shared" ca="1" si="2"/>
        <v>0.46363840302629578</v>
      </c>
      <c r="I24">
        <f t="shared" ca="1" si="3"/>
        <v>0.39211350713073978</v>
      </c>
      <c r="J24">
        <f t="shared" ca="1" si="4"/>
        <v>-67.043477788541225</v>
      </c>
    </row>
    <row r="25" spans="4:10" x14ac:dyDescent="0.3">
      <c r="D25">
        <f ca="1"/>
        <v>23</v>
      </c>
      <c r="E25">
        <f ca="1"/>
        <v>0.65</v>
      </c>
      <c r="F25" s="2">
        <f t="shared" ca="1" si="0"/>
        <v>9.127157186106441E-2</v>
      </c>
      <c r="G25">
        <f t="shared" ca="1" si="1"/>
        <v>0.53636159697370422</v>
      </c>
      <c r="H25">
        <f t="shared" ca="1" si="2"/>
        <v>0.46363840302629578</v>
      </c>
      <c r="I25">
        <f t="shared" ca="1" si="3"/>
        <v>0.39211350713073978</v>
      </c>
      <c r="J25">
        <f t="shared" ca="1" si="4"/>
        <v>-70.161779081031511</v>
      </c>
    </row>
    <row r="26" spans="4:10" x14ac:dyDescent="0.3">
      <c r="D26">
        <f ca="1"/>
        <v>24</v>
      </c>
      <c r="E26">
        <f ca="1"/>
        <v>0.65</v>
      </c>
      <c r="F26" s="2">
        <f t="shared" ca="1" si="0"/>
        <v>9.127157186106441E-2</v>
      </c>
      <c r="G26">
        <f t="shared" ca="1" si="1"/>
        <v>0.53636159697370422</v>
      </c>
      <c r="H26">
        <f t="shared" ca="1" si="2"/>
        <v>0.46363840302629578</v>
      </c>
      <c r="I26">
        <f t="shared" ca="1" si="3"/>
        <v>0.46363840302629578</v>
      </c>
      <c r="J26">
        <f t="shared" ca="1" si="4"/>
        <v>-65.405061751377119</v>
      </c>
    </row>
    <row r="27" spans="4:10" x14ac:dyDescent="0.3">
      <c r="D27">
        <f ca="1"/>
        <v>25</v>
      </c>
      <c r="E27">
        <f ca="1"/>
        <v>0.65</v>
      </c>
      <c r="F27" s="2">
        <f t="shared" ca="1" si="0"/>
        <v>9.127157186106441E-2</v>
      </c>
      <c r="G27">
        <f t="shared" ca="1" si="1"/>
        <v>0.53636159697370422</v>
      </c>
      <c r="H27">
        <f t="shared" ca="1" si="2"/>
        <v>0.46363840302629578</v>
      </c>
      <c r="I27">
        <f t="shared" ca="1" si="3"/>
        <v>0.46363840302629578</v>
      </c>
      <c r="J27">
        <f t="shared" ca="1" si="4"/>
        <v>-68.188255868456991</v>
      </c>
    </row>
    <row r="28" spans="4:10" x14ac:dyDescent="0.3">
      <c r="D28">
        <f ca="1"/>
        <v>26</v>
      </c>
      <c r="E28">
        <f ca="1"/>
        <v>0.65</v>
      </c>
      <c r="F28" s="2">
        <f t="shared" ca="1" si="0"/>
        <v>9.127157186106441E-2</v>
      </c>
      <c r="G28">
        <f t="shared" ca="1" si="1"/>
        <v>0.53636159697370422</v>
      </c>
      <c r="H28">
        <f t="shared" ca="1" si="2"/>
        <v>0.46363840302629578</v>
      </c>
      <c r="I28">
        <f t="shared" ca="1" si="3"/>
        <v>0.46363840302629578</v>
      </c>
      <c r="J28">
        <f t="shared" ca="1" si="4"/>
        <v>-70.971449985536864</v>
      </c>
    </row>
    <row r="29" spans="4:10" x14ac:dyDescent="0.3">
      <c r="D29">
        <f ca="1"/>
        <v>27</v>
      </c>
      <c r="E29">
        <f ca="1"/>
        <v>0.65</v>
      </c>
      <c r="F29" s="2">
        <f t="shared" ca="1" si="0"/>
        <v>9.127157186106441E-2</v>
      </c>
      <c r="G29">
        <f t="shared" ca="1" si="1"/>
        <v>0.53636159697370422</v>
      </c>
      <c r="H29">
        <f t="shared" ca="1" si="2"/>
        <v>0.46363840302629578</v>
      </c>
      <c r="I29">
        <f t="shared" ca="1" si="3"/>
        <v>0.46363840302629578</v>
      </c>
      <c r="J29">
        <f t="shared" ca="1" si="4"/>
        <v>-73.754644102616751</v>
      </c>
    </row>
    <row r="30" spans="4:10" x14ac:dyDescent="0.3">
      <c r="D30">
        <f ca="1"/>
        <v>28</v>
      </c>
      <c r="E30">
        <f ca="1"/>
        <v>0.66</v>
      </c>
      <c r="F30" s="2">
        <f t="shared" ca="1" si="0"/>
        <v>0.27381471558319731</v>
      </c>
      <c r="G30">
        <f t="shared" ca="1" si="1"/>
        <v>0.60788649286926022</v>
      </c>
      <c r="H30">
        <f t="shared" ca="1" si="2"/>
        <v>0.39211350713073978</v>
      </c>
      <c r="I30">
        <f t="shared" ca="1" si="3"/>
        <v>0.46363840302629578</v>
      </c>
      <c r="J30">
        <f t="shared" ca="1" si="4"/>
        <v>-69.65295910088804</v>
      </c>
    </row>
    <row r="31" spans="4:10" x14ac:dyDescent="0.3">
      <c r="D31">
        <f ca="1"/>
        <v>29</v>
      </c>
      <c r="E31">
        <f ca="1"/>
        <v>0.66</v>
      </c>
      <c r="F31" s="2">
        <f t="shared" ca="1" si="0"/>
        <v>0.27381471558319731</v>
      </c>
      <c r="G31">
        <f t="shared" ca="1" si="1"/>
        <v>0.60788649286926022</v>
      </c>
      <c r="H31">
        <f t="shared" ca="1" si="2"/>
        <v>0.39211350713073978</v>
      </c>
      <c r="I31">
        <f t="shared" ca="1" si="3"/>
        <v>0.46363840302629578</v>
      </c>
      <c r="J31">
        <f t="shared" ca="1" si="4"/>
        <v>-72.185793977283979</v>
      </c>
    </row>
    <row r="32" spans="4:10" x14ac:dyDescent="0.3">
      <c r="D32">
        <f ca="1"/>
        <v>30</v>
      </c>
      <c r="E32">
        <f ca="1"/>
        <v>0.66</v>
      </c>
      <c r="F32" s="2">
        <f t="shared" ca="1" si="0"/>
        <v>0.27381471558319731</v>
      </c>
      <c r="G32">
        <f t="shared" ca="1" si="1"/>
        <v>0.60788649286926022</v>
      </c>
      <c r="H32">
        <f t="shared" ca="1" si="2"/>
        <v>0.39211350713073978</v>
      </c>
      <c r="I32">
        <f t="shared" ca="1" si="3"/>
        <v>0.53636159697370589</v>
      </c>
      <c r="J32">
        <f t="shared" ca="1" si="4"/>
        <v>-66.1221158490916</v>
      </c>
    </row>
    <row r="33" spans="4:10" x14ac:dyDescent="0.3">
      <c r="D33">
        <f ca="1"/>
        <v>31</v>
      </c>
      <c r="E33">
        <f ca="1"/>
        <v>0.66</v>
      </c>
      <c r="F33" s="2">
        <f t="shared" ca="1" si="0"/>
        <v>0.27381471558319731</v>
      </c>
      <c r="G33">
        <f t="shared" ca="1" si="1"/>
        <v>0.60788649286926022</v>
      </c>
      <c r="H33">
        <f t="shared" ca="1" si="2"/>
        <v>0.39211350713073978</v>
      </c>
      <c r="I33">
        <f t="shared" ca="1" si="3"/>
        <v>0.53636159697370589</v>
      </c>
      <c r="J33">
        <f t="shared" ca="1" si="4"/>
        <v>-68.363543504993018</v>
      </c>
    </row>
    <row r="34" spans="4:10" x14ac:dyDescent="0.3">
      <c r="D34">
        <f ca="1"/>
        <v>32</v>
      </c>
      <c r="E34">
        <f ca="1"/>
        <v>0.66</v>
      </c>
      <c r="F34" s="2">
        <f t="shared" ca="1" si="0"/>
        <v>0.27381471558319731</v>
      </c>
      <c r="G34">
        <f t="shared" ca="1" si="1"/>
        <v>0.60788649286926022</v>
      </c>
      <c r="H34">
        <f t="shared" ca="1" si="2"/>
        <v>0.39211350713073978</v>
      </c>
      <c r="I34">
        <f t="shared" ca="1" si="3"/>
        <v>0.53636159697370589</v>
      </c>
      <c r="J34">
        <f t="shared" ca="1" si="4"/>
        <v>-70.604971160894422</v>
      </c>
    </row>
    <row r="35" spans="4:10" x14ac:dyDescent="0.3">
      <c r="D35">
        <f ca="1"/>
        <v>33</v>
      </c>
      <c r="E35">
        <f ca="1"/>
        <v>0.66</v>
      </c>
      <c r="F35" s="2">
        <f t="shared" ref="F35:F66" ca="1" si="5">+(E35-$B$2)/$B$5</f>
        <v>0.27381471558319731</v>
      </c>
      <c r="G35">
        <f t="shared" ref="G35:G66" ca="1" si="6">+_xlfn.NORM.S.DIST(F35,TRUE)</f>
        <v>0.60788649286926022</v>
      </c>
      <c r="H35">
        <f t="shared" ref="H35:H66" ca="1" si="7">1-G35</f>
        <v>0.39211350713073978</v>
      </c>
      <c r="I35">
        <f t="shared" ref="I35:I66" ca="1" si="8">+SMALL($H$3:$H$94,D35)</f>
        <v>0.53636159697370589</v>
      </c>
      <c r="J35">
        <f t="shared" ref="J35:J66" ca="1" si="9">+(2*D35-1)*(LN(G35)+LN(I35))</f>
        <v>-72.846398816795841</v>
      </c>
    </row>
    <row r="36" spans="4:10" x14ac:dyDescent="0.3">
      <c r="D36">
        <f ca="1"/>
        <v>34</v>
      </c>
      <c r="E36">
        <f ca="1"/>
        <v>0.67</v>
      </c>
      <c r="F36" s="2">
        <f t="shared" ca="1" si="5"/>
        <v>0.45635785930533018</v>
      </c>
      <c r="G36">
        <f t="shared" ca="1" si="6"/>
        <v>0.6759336681255933</v>
      </c>
      <c r="H36">
        <f t="shared" ca="1" si="7"/>
        <v>0.3240663318744067</v>
      </c>
      <c r="I36">
        <f t="shared" ca="1" si="8"/>
        <v>0.53636159697370589</v>
      </c>
      <c r="J36">
        <f t="shared" ca="1" si="9"/>
        <v>-67.978672750295459</v>
      </c>
    </row>
    <row r="37" spans="4:10" x14ac:dyDescent="0.3">
      <c r="D37">
        <f ca="1"/>
        <v>35</v>
      </c>
      <c r="E37">
        <f ca="1"/>
        <v>0.67</v>
      </c>
      <c r="F37" s="2">
        <f t="shared" ca="1" si="5"/>
        <v>0.45635785930533018</v>
      </c>
      <c r="G37">
        <f t="shared" ca="1" si="6"/>
        <v>0.6759336681255933</v>
      </c>
      <c r="H37">
        <f t="shared" ca="1" si="7"/>
        <v>0.3240663318744067</v>
      </c>
      <c r="I37">
        <f t="shared" ca="1" si="8"/>
        <v>0.60788649286926177</v>
      </c>
      <c r="J37">
        <f t="shared" ca="1" si="9"/>
        <v>-61.3704930586484</v>
      </c>
    </row>
    <row r="38" spans="4:10" x14ac:dyDescent="0.3">
      <c r="D38">
        <f ca="1"/>
        <v>36</v>
      </c>
      <c r="E38">
        <f ca="1"/>
        <v>0.67</v>
      </c>
      <c r="F38" s="2">
        <f t="shared" ca="1" si="5"/>
        <v>0.45635785930533018</v>
      </c>
      <c r="G38">
        <f t="shared" ca="1" si="6"/>
        <v>0.6759336681255933</v>
      </c>
      <c r="H38">
        <f t="shared" ca="1" si="7"/>
        <v>0.3240663318744067</v>
      </c>
      <c r="I38">
        <f t="shared" ca="1" si="8"/>
        <v>0.60788649286926177</v>
      </c>
      <c r="J38">
        <f t="shared" ca="1" si="9"/>
        <v>-63.149347929913574</v>
      </c>
    </row>
    <row r="39" spans="4:10" x14ac:dyDescent="0.3">
      <c r="D39">
        <f ca="1"/>
        <v>37</v>
      </c>
      <c r="E39">
        <f ca="1"/>
        <v>0.68</v>
      </c>
      <c r="F39" s="2">
        <f t="shared" ca="1" si="5"/>
        <v>0.63890100302746311</v>
      </c>
      <c r="G39">
        <f t="shared" ca="1" si="6"/>
        <v>0.73855633227083728</v>
      </c>
      <c r="H39">
        <f t="shared" ca="1" si="7"/>
        <v>0.26144366772916272</v>
      </c>
      <c r="I39">
        <f t="shared" ca="1" si="8"/>
        <v>0.60788649286926177</v>
      </c>
      <c r="J39">
        <f t="shared" ca="1" si="9"/>
        <v>-58.460225322195804</v>
      </c>
    </row>
    <row r="40" spans="4:10" x14ac:dyDescent="0.3">
      <c r="D40">
        <f ca="1"/>
        <v>38</v>
      </c>
      <c r="E40">
        <f ca="1"/>
        <v>0.68</v>
      </c>
      <c r="F40" s="2">
        <f t="shared" ca="1" si="5"/>
        <v>0.63890100302746311</v>
      </c>
      <c r="G40">
        <f t="shared" ca="1" si="6"/>
        <v>0.73855633227083728</v>
      </c>
      <c r="H40">
        <f t="shared" ca="1" si="7"/>
        <v>0.26144366772916272</v>
      </c>
      <c r="I40">
        <f t="shared" ca="1" si="8"/>
        <v>0.60788649286926177</v>
      </c>
      <c r="J40">
        <f t="shared" ca="1" si="9"/>
        <v>-60.061875331023082</v>
      </c>
    </row>
    <row r="41" spans="4:10" x14ac:dyDescent="0.3">
      <c r="D41">
        <f ca="1"/>
        <v>39</v>
      </c>
      <c r="E41">
        <f ca="1"/>
        <v>0.68</v>
      </c>
      <c r="F41" s="2">
        <f t="shared" ca="1" si="5"/>
        <v>0.63890100302746311</v>
      </c>
      <c r="G41">
        <f t="shared" ca="1" si="6"/>
        <v>0.73855633227083728</v>
      </c>
      <c r="H41">
        <f t="shared" ca="1" si="7"/>
        <v>0.26144366772916272</v>
      </c>
      <c r="I41">
        <f t="shared" ca="1" si="8"/>
        <v>0.73855633227083861</v>
      </c>
      <c r="J41">
        <f t="shared" ca="1" si="9"/>
        <v>-46.670916693828445</v>
      </c>
    </row>
    <row r="42" spans="4:10" x14ac:dyDescent="0.3">
      <c r="D42">
        <f ca="1"/>
        <v>40</v>
      </c>
      <c r="E42">
        <f ca="1"/>
        <v>0.69</v>
      </c>
      <c r="F42" s="2">
        <f t="shared" ca="1" si="5"/>
        <v>0.82144414674959387</v>
      </c>
      <c r="G42">
        <f t="shared" ca="1" si="6"/>
        <v>0.79430333696928401</v>
      </c>
      <c r="H42">
        <f t="shared" ca="1" si="7"/>
        <v>0.20569666303071599</v>
      </c>
      <c r="I42">
        <f t="shared" ca="1" si="8"/>
        <v>0.73855633227083861</v>
      </c>
      <c r="J42">
        <f t="shared" ca="1" si="9"/>
        <v>-42.134472630494713</v>
      </c>
    </row>
    <row r="43" spans="4:10" x14ac:dyDescent="0.3">
      <c r="D43">
        <f ca="1"/>
        <v>41</v>
      </c>
      <c r="E43">
        <f ca="1"/>
        <v>0.69</v>
      </c>
      <c r="F43" s="2">
        <f t="shared" ca="1" si="5"/>
        <v>0.82144414674959387</v>
      </c>
      <c r="G43">
        <f t="shared" ca="1" si="6"/>
        <v>0.79430333696928401</v>
      </c>
      <c r="H43">
        <f t="shared" ca="1" si="7"/>
        <v>0.20569666303071599</v>
      </c>
      <c r="I43">
        <f t="shared" ca="1" si="8"/>
        <v>0.79430333696928579</v>
      </c>
      <c r="J43">
        <f t="shared" ca="1" si="9"/>
        <v>-37.30695638155229</v>
      </c>
    </row>
    <row r="44" spans="4:10" x14ac:dyDescent="0.3">
      <c r="D44">
        <f ca="1"/>
        <v>42</v>
      </c>
      <c r="E44">
        <f ca="1"/>
        <v>0.69</v>
      </c>
      <c r="F44" s="2">
        <f t="shared" ca="1" si="5"/>
        <v>0.82144414674959387</v>
      </c>
      <c r="G44">
        <f t="shared" ca="1" si="6"/>
        <v>0.79430333696928401</v>
      </c>
      <c r="H44">
        <f t="shared" ca="1" si="7"/>
        <v>0.20569666303071599</v>
      </c>
      <c r="I44">
        <f t="shared" ca="1" si="8"/>
        <v>0.79430333696928579</v>
      </c>
      <c r="J44">
        <f t="shared" ca="1" si="9"/>
        <v>-38.228115798380742</v>
      </c>
    </row>
    <row r="45" spans="4:10" x14ac:dyDescent="0.3">
      <c r="D45">
        <f ca="1"/>
        <v>43</v>
      </c>
      <c r="E45">
        <f ca="1"/>
        <v>0.7</v>
      </c>
      <c r="F45" s="2">
        <f t="shared" ca="1" si="5"/>
        <v>1.0039872904717269</v>
      </c>
      <c r="G45">
        <f t="shared" ca="1" si="6"/>
        <v>0.8423076301539435</v>
      </c>
      <c r="H45">
        <f t="shared" ca="1" si="7"/>
        <v>0.1576923698460565</v>
      </c>
      <c r="I45">
        <f t="shared" ca="1" si="8"/>
        <v>0.84230763015394494</v>
      </c>
      <c r="J45">
        <f t="shared" ca="1" si="9"/>
        <v>-29.173695748107484</v>
      </c>
    </row>
    <row r="46" spans="4:10" x14ac:dyDescent="0.3">
      <c r="D46">
        <f ca="1"/>
        <v>44</v>
      </c>
      <c r="E46">
        <f ca="1"/>
        <v>0.7</v>
      </c>
      <c r="F46" s="2">
        <f t="shared" ca="1" si="5"/>
        <v>1.0039872904717269</v>
      </c>
      <c r="G46">
        <f t="shared" ca="1" si="6"/>
        <v>0.8423076301539435</v>
      </c>
      <c r="H46">
        <f t="shared" ca="1" si="7"/>
        <v>0.1576923698460565</v>
      </c>
      <c r="I46">
        <f t="shared" ca="1" si="8"/>
        <v>0.84230763015394494</v>
      </c>
      <c r="J46">
        <f t="shared" ca="1" si="9"/>
        <v>-29.860135648062951</v>
      </c>
    </row>
    <row r="47" spans="4:10" x14ac:dyDescent="0.3">
      <c r="D47">
        <f ca="1"/>
        <v>45</v>
      </c>
      <c r="E47">
        <f ca="1"/>
        <v>0.7</v>
      </c>
      <c r="F47" s="2">
        <f t="shared" ca="1" si="5"/>
        <v>1.0039872904717269</v>
      </c>
      <c r="G47">
        <f t="shared" ca="1" si="6"/>
        <v>0.8423076301539435</v>
      </c>
      <c r="H47">
        <f t="shared" ca="1" si="7"/>
        <v>0.1576923698460565</v>
      </c>
      <c r="I47">
        <f t="shared" ca="1" si="8"/>
        <v>0.8822935550203912</v>
      </c>
      <c r="J47">
        <f t="shared" ca="1" si="9"/>
        <v>-26.418797782113963</v>
      </c>
    </row>
    <row r="48" spans="4:10" x14ac:dyDescent="0.3">
      <c r="D48">
        <f ca="1"/>
        <v>46</v>
      </c>
      <c r="E48">
        <f ca="1"/>
        <v>0.7</v>
      </c>
      <c r="F48" s="2">
        <f t="shared" ca="1" si="5"/>
        <v>1.0039872904717269</v>
      </c>
      <c r="G48">
        <f t="shared" ca="1" si="6"/>
        <v>0.8423076301539435</v>
      </c>
      <c r="H48">
        <f t="shared" ca="1" si="7"/>
        <v>0.1576923698460565</v>
      </c>
      <c r="I48">
        <f t="shared" ca="1" si="8"/>
        <v>0.93962302016411525</v>
      </c>
      <c r="J48">
        <f t="shared" ca="1" si="9"/>
        <v>-21.283671638734816</v>
      </c>
    </row>
    <row r="49" spans="4:10" x14ac:dyDescent="0.3">
      <c r="D49">
        <f ca="1"/>
        <v>47</v>
      </c>
      <c r="E49">
        <f ca="1"/>
        <v>0.71</v>
      </c>
      <c r="F49" s="2">
        <f t="shared" ca="1" si="5"/>
        <v>1.1865304341938596</v>
      </c>
      <c r="G49">
        <f t="shared" ca="1" si="6"/>
        <v>0.88229355502038986</v>
      </c>
      <c r="H49">
        <f t="shared" ca="1" si="7"/>
        <v>0.11770644497961014</v>
      </c>
      <c r="I49">
        <f t="shared" ca="1" si="8"/>
        <v>0.98210239627099005</v>
      </c>
      <c r="J49">
        <f t="shared" ca="1" si="9"/>
        <v>-13.325984173630481</v>
      </c>
    </row>
    <row r="50" spans="4:10" x14ac:dyDescent="0.3">
      <c r="D50">
        <f ca="1"/>
        <v>48</v>
      </c>
      <c r="E50">
        <f ca="1"/>
        <v>0.71</v>
      </c>
      <c r="F50" s="2">
        <f t="shared" ca="1" si="5"/>
        <v>1.1865304341938596</v>
      </c>
      <c r="G50">
        <f t="shared" ca="1" si="6"/>
        <v>0.88229355502038986</v>
      </c>
      <c r="H50">
        <f t="shared" ca="1" si="7"/>
        <v>0.11770644497961014</v>
      </c>
      <c r="I50">
        <f t="shared" ca="1" si="8"/>
        <v>0.98210239627099005</v>
      </c>
      <c r="J50">
        <f t="shared" ca="1" si="9"/>
        <v>-13.61256447843974</v>
      </c>
    </row>
    <row r="51" spans="4:10" x14ac:dyDescent="0.3">
      <c r="D51">
        <f ca="1"/>
        <v>49</v>
      </c>
      <c r="E51">
        <f ca="1"/>
        <v>0.73</v>
      </c>
      <c r="F51" s="2">
        <f t="shared" ca="1" si="5"/>
        <v>1.5516167216381254</v>
      </c>
      <c r="G51">
        <f t="shared" ca="1" si="6"/>
        <v>0.93962302016411481</v>
      </c>
      <c r="H51">
        <f t="shared" ca="1" si="7"/>
        <v>6.0376979835885192E-2</v>
      </c>
      <c r="I51">
        <f t="shared" ca="1" si="8"/>
        <v>0.99313656356565783</v>
      </c>
      <c r="J51">
        <f t="shared" ca="1" si="9"/>
        <v>-6.7088715938745409</v>
      </c>
    </row>
    <row r="52" spans="4:10" x14ac:dyDescent="0.3">
      <c r="D52">
        <f ca="1"/>
        <v>50</v>
      </c>
      <c r="E52">
        <f ca="1"/>
        <v>0.78</v>
      </c>
      <c r="F52" s="2">
        <f t="shared" ca="1" si="5"/>
        <v>2.4643324402487901</v>
      </c>
      <c r="G52">
        <f t="shared" ca="1" si="6"/>
        <v>0.99313656356565772</v>
      </c>
      <c r="H52">
        <f t="shared" ca="1" si="7"/>
        <v>6.8634364343422849E-3</v>
      </c>
      <c r="I52">
        <f t="shared" ca="1" si="8"/>
        <v>0.99313656356565783</v>
      </c>
      <c r="J52">
        <f t="shared" ca="1" si="9"/>
        <v>-1.3636454323988545</v>
      </c>
    </row>
    <row r="53" spans="4:10" x14ac:dyDescent="0.3">
      <c r="F53" s="2">
        <f t="shared" ca="1" si="5"/>
        <v>-11.774032770077563</v>
      </c>
      <c r="G53">
        <f t="shared" ca="1" si="6"/>
        <v>2.6561461029654392E-32</v>
      </c>
      <c r="H53">
        <f t="shared" ca="1" si="7"/>
        <v>1</v>
      </c>
      <c r="I53" t="e">
        <f t="shared" ca="1" si="8"/>
        <v>#NUM!</v>
      </c>
      <c r="J53" t="e">
        <f t="shared" ca="1" si="9"/>
        <v>#NUM!</v>
      </c>
    </row>
    <row r="54" spans="4:10" x14ac:dyDescent="0.3">
      <c r="F54" s="2">
        <f t="shared" ca="1" si="5"/>
        <v>-11.774032770077563</v>
      </c>
      <c r="G54">
        <f t="shared" ca="1" si="6"/>
        <v>2.6561461029654392E-32</v>
      </c>
      <c r="H54">
        <f t="shared" ca="1" si="7"/>
        <v>1</v>
      </c>
      <c r="I54" t="e">
        <f t="shared" ca="1" si="8"/>
        <v>#NUM!</v>
      </c>
      <c r="J54" t="e">
        <f t="shared" ca="1" si="9"/>
        <v>#NUM!</v>
      </c>
    </row>
    <row r="55" spans="4:10" x14ac:dyDescent="0.3">
      <c r="F55" s="2">
        <f t="shared" ca="1" si="5"/>
        <v>-11.774032770077563</v>
      </c>
      <c r="G55">
        <f t="shared" ca="1" si="6"/>
        <v>2.6561461029654392E-32</v>
      </c>
      <c r="H55">
        <f t="shared" ca="1" si="7"/>
        <v>1</v>
      </c>
      <c r="I55" t="e">
        <f t="shared" ca="1" si="8"/>
        <v>#NUM!</v>
      </c>
      <c r="J55" t="e">
        <f t="shared" ca="1" si="9"/>
        <v>#NUM!</v>
      </c>
    </row>
    <row r="56" spans="4:10" x14ac:dyDescent="0.3">
      <c r="F56" s="2">
        <f t="shared" ca="1" si="5"/>
        <v>-11.774032770077563</v>
      </c>
      <c r="G56">
        <f t="shared" ca="1" si="6"/>
        <v>2.6561461029654392E-32</v>
      </c>
      <c r="H56">
        <f t="shared" ca="1" si="7"/>
        <v>1</v>
      </c>
      <c r="I56" t="e">
        <f t="shared" ca="1" si="8"/>
        <v>#NUM!</v>
      </c>
      <c r="J56" t="e">
        <f t="shared" ca="1" si="9"/>
        <v>#NUM!</v>
      </c>
    </row>
    <row r="57" spans="4:10" x14ac:dyDescent="0.3">
      <c r="F57" s="2">
        <f t="shared" ca="1" si="5"/>
        <v>-11.774032770077563</v>
      </c>
      <c r="G57">
        <f t="shared" ca="1" si="6"/>
        <v>2.6561461029654392E-32</v>
      </c>
      <c r="H57">
        <f t="shared" ca="1" si="7"/>
        <v>1</v>
      </c>
      <c r="I57" t="e">
        <f t="shared" ca="1" si="8"/>
        <v>#NUM!</v>
      </c>
      <c r="J57" t="e">
        <f t="shared" ca="1" si="9"/>
        <v>#NUM!</v>
      </c>
    </row>
    <row r="58" spans="4:10" x14ac:dyDescent="0.3">
      <c r="F58" s="2">
        <f t="shared" ca="1" si="5"/>
        <v>-11.774032770077563</v>
      </c>
      <c r="G58">
        <f t="shared" ca="1" si="6"/>
        <v>2.6561461029654392E-32</v>
      </c>
      <c r="H58">
        <f t="shared" ca="1" si="7"/>
        <v>1</v>
      </c>
      <c r="I58" t="e">
        <f t="shared" ca="1" si="8"/>
        <v>#NUM!</v>
      </c>
      <c r="J58" t="e">
        <f t="shared" ca="1" si="9"/>
        <v>#NUM!</v>
      </c>
    </row>
    <row r="59" spans="4:10" x14ac:dyDescent="0.3">
      <c r="F59" s="2">
        <f t="shared" ca="1" si="5"/>
        <v>-11.774032770077563</v>
      </c>
      <c r="G59">
        <f t="shared" ca="1" si="6"/>
        <v>2.6561461029654392E-32</v>
      </c>
      <c r="H59">
        <f t="shared" ca="1" si="7"/>
        <v>1</v>
      </c>
      <c r="I59" t="e">
        <f t="shared" ca="1" si="8"/>
        <v>#NUM!</v>
      </c>
      <c r="J59" t="e">
        <f t="shared" ca="1" si="9"/>
        <v>#NUM!</v>
      </c>
    </row>
    <row r="60" spans="4:10" x14ac:dyDescent="0.3">
      <c r="F60" s="2">
        <f t="shared" ca="1" si="5"/>
        <v>-11.774032770077563</v>
      </c>
      <c r="G60">
        <f t="shared" ca="1" si="6"/>
        <v>2.6561461029654392E-32</v>
      </c>
      <c r="H60">
        <f t="shared" ca="1" si="7"/>
        <v>1</v>
      </c>
      <c r="I60" t="e">
        <f t="shared" ca="1" si="8"/>
        <v>#NUM!</v>
      </c>
      <c r="J60" t="e">
        <f t="shared" ca="1" si="9"/>
        <v>#NUM!</v>
      </c>
    </row>
    <row r="61" spans="4:10" x14ac:dyDescent="0.3">
      <c r="F61" s="2">
        <f t="shared" ca="1" si="5"/>
        <v>-11.774032770077563</v>
      </c>
      <c r="G61">
        <f t="shared" ca="1" si="6"/>
        <v>2.6561461029654392E-32</v>
      </c>
      <c r="H61">
        <f t="shared" ca="1" si="7"/>
        <v>1</v>
      </c>
      <c r="I61" t="e">
        <f t="shared" ca="1" si="8"/>
        <v>#NUM!</v>
      </c>
      <c r="J61" t="e">
        <f t="shared" ca="1" si="9"/>
        <v>#NUM!</v>
      </c>
    </row>
    <row r="62" spans="4:10" x14ac:dyDescent="0.3">
      <c r="F62" s="2">
        <f t="shared" ca="1" si="5"/>
        <v>-11.774032770077563</v>
      </c>
      <c r="G62">
        <f t="shared" ca="1" si="6"/>
        <v>2.6561461029654392E-32</v>
      </c>
      <c r="H62">
        <f t="shared" ca="1" si="7"/>
        <v>1</v>
      </c>
      <c r="I62" t="e">
        <f t="shared" ca="1" si="8"/>
        <v>#NUM!</v>
      </c>
      <c r="J62" t="e">
        <f t="shared" ca="1" si="9"/>
        <v>#NUM!</v>
      </c>
    </row>
    <row r="63" spans="4:10" x14ac:dyDescent="0.3">
      <c r="F63" s="2">
        <f t="shared" ca="1" si="5"/>
        <v>-11.774032770077563</v>
      </c>
      <c r="G63">
        <f t="shared" ca="1" si="6"/>
        <v>2.6561461029654392E-32</v>
      </c>
      <c r="H63">
        <f t="shared" ca="1" si="7"/>
        <v>1</v>
      </c>
      <c r="I63" t="e">
        <f t="shared" ca="1" si="8"/>
        <v>#NUM!</v>
      </c>
      <c r="J63" t="e">
        <f t="shared" ca="1" si="9"/>
        <v>#NUM!</v>
      </c>
    </row>
    <row r="64" spans="4:10" x14ac:dyDescent="0.3">
      <c r="F64" s="2">
        <f t="shared" ca="1" si="5"/>
        <v>-11.774032770077563</v>
      </c>
      <c r="G64">
        <f t="shared" ca="1" si="6"/>
        <v>2.6561461029654392E-32</v>
      </c>
      <c r="H64">
        <f t="shared" ca="1" si="7"/>
        <v>1</v>
      </c>
      <c r="I64" t="e">
        <f t="shared" ca="1" si="8"/>
        <v>#NUM!</v>
      </c>
      <c r="J64" t="e">
        <f t="shared" ca="1" si="9"/>
        <v>#NUM!</v>
      </c>
    </row>
    <row r="65" spans="6:10" x14ac:dyDescent="0.3">
      <c r="F65" s="2">
        <f t="shared" ca="1" si="5"/>
        <v>-11.774032770077563</v>
      </c>
      <c r="G65">
        <f t="shared" ca="1" si="6"/>
        <v>2.6561461029654392E-32</v>
      </c>
      <c r="H65">
        <f t="shared" ca="1" si="7"/>
        <v>1</v>
      </c>
      <c r="I65" t="e">
        <f t="shared" ca="1" si="8"/>
        <v>#NUM!</v>
      </c>
      <c r="J65" t="e">
        <f t="shared" ca="1" si="9"/>
        <v>#NUM!</v>
      </c>
    </row>
    <row r="66" spans="6:10" x14ac:dyDescent="0.3">
      <c r="F66" s="2">
        <f t="shared" ca="1" si="5"/>
        <v>-11.774032770077563</v>
      </c>
      <c r="G66">
        <f t="shared" ca="1" si="6"/>
        <v>2.6561461029654392E-32</v>
      </c>
      <c r="H66">
        <f t="shared" ca="1" si="7"/>
        <v>1</v>
      </c>
      <c r="I66" t="e">
        <f t="shared" ca="1" si="8"/>
        <v>#NUM!</v>
      </c>
      <c r="J66" t="e">
        <f t="shared" ca="1" si="9"/>
        <v>#NUM!</v>
      </c>
    </row>
    <row r="67" spans="6:10" x14ac:dyDescent="0.3">
      <c r="F67" s="2">
        <f t="shared" ref="F67:F94" ca="1" si="10">+(E67-$B$2)/$B$5</f>
        <v>-11.774032770077563</v>
      </c>
      <c r="G67">
        <f t="shared" ref="G67:G94" ca="1" si="11">+_xlfn.NORM.S.DIST(F67,TRUE)</f>
        <v>2.6561461029654392E-32</v>
      </c>
      <c r="H67">
        <f t="shared" ref="H67:H94" ca="1" si="12">1-G67</f>
        <v>1</v>
      </c>
      <c r="I67" t="e">
        <f t="shared" ref="I67:I94" ca="1" si="13">+SMALL($H$3:$H$94,D67)</f>
        <v>#NUM!</v>
      </c>
      <c r="J67" t="e">
        <f t="shared" ref="J67:J94" ca="1" si="14">+(2*D67-1)*(LN(G67)+LN(I67))</f>
        <v>#NUM!</v>
      </c>
    </row>
    <row r="68" spans="6:10" x14ac:dyDescent="0.3">
      <c r="F68" s="2">
        <f t="shared" ca="1" si="10"/>
        <v>-11.774032770077563</v>
      </c>
      <c r="G68">
        <f t="shared" ca="1" si="11"/>
        <v>2.6561461029654392E-32</v>
      </c>
      <c r="H68">
        <f t="shared" ca="1" si="12"/>
        <v>1</v>
      </c>
      <c r="I68" t="e">
        <f t="shared" ca="1" si="13"/>
        <v>#NUM!</v>
      </c>
      <c r="J68" t="e">
        <f t="shared" ca="1" si="14"/>
        <v>#NUM!</v>
      </c>
    </row>
    <row r="69" spans="6:10" x14ac:dyDescent="0.3">
      <c r="F69" s="2">
        <f t="shared" ca="1" si="10"/>
        <v>-11.774032770077563</v>
      </c>
      <c r="G69">
        <f t="shared" ca="1" si="11"/>
        <v>2.6561461029654392E-32</v>
      </c>
      <c r="H69">
        <f t="shared" ca="1" si="12"/>
        <v>1</v>
      </c>
      <c r="I69" t="e">
        <f t="shared" ca="1" si="13"/>
        <v>#NUM!</v>
      </c>
      <c r="J69" t="e">
        <f t="shared" ca="1" si="14"/>
        <v>#NUM!</v>
      </c>
    </row>
    <row r="70" spans="6:10" x14ac:dyDescent="0.3">
      <c r="F70" s="2">
        <f t="shared" ca="1" si="10"/>
        <v>-11.774032770077563</v>
      </c>
      <c r="G70">
        <f t="shared" ca="1" si="11"/>
        <v>2.6561461029654392E-32</v>
      </c>
      <c r="H70">
        <f t="shared" ca="1" si="12"/>
        <v>1</v>
      </c>
      <c r="I70" t="e">
        <f t="shared" ca="1" si="13"/>
        <v>#NUM!</v>
      </c>
      <c r="J70" t="e">
        <f t="shared" ca="1" si="14"/>
        <v>#NUM!</v>
      </c>
    </row>
    <row r="71" spans="6:10" x14ac:dyDescent="0.3">
      <c r="F71" s="2">
        <f t="shared" ca="1" si="10"/>
        <v>-11.774032770077563</v>
      </c>
      <c r="G71">
        <f t="shared" ca="1" si="11"/>
        <v>2.6561461029654392E-32</v>
      </c>
      <c r="H71">
        <f t="shared" ca="1" si="12"/>
        <v>1</v>
      </c>
      <c r="I71" t="e">
        <f t="shared" ca="1" si="13"/>
        <v>#NUM!</v>
      </c>
      <c r="J71" t="e">
        <f t="shared" ca="1" si="14"/>
        <v>#NUM!</v>
      </c>
    </row>
    <row r="72" spans="6:10" x14ac:dyDescent="0.3">
      <c r="F72" s="2">
        <f t="shared" ca="1" si="10"/>
        <v>-11.774032770077563</v>
      </c>
      <c r="G72">
        <f t="shared" ca="1" si="11"/>
        <v>2.6561461029654392E-32</v>
      </c>
      <c r="H72">
        <f t="shared" ca="1" si="12"/>
        <v>1</v>
      </c>
      <c r="I72" t="e">
        <f t="shared" ca="1" si="13"/>
        <v>#NUM!</v>
      </c>
      <c r="J72" t="e">
        <f t="shared" ca="1" si="14"/>
        <v>#NUM!</v>
      </c>
    </row>
    <row r="73" spans="6:10" x14ac:dyDescent="0.3">
      <c r="F73" s="2">
        <f t="shared" ca="1" si="10"/>
        <v>-11.774032770077563</v>
      </c>
      <c r="G73">
        <f t="shared" ca="1" si="11"/>
        <v>2.6561461029654392E-32</v>
      </c>
      <c r="H73">
        <f t="shared" ca="1" si="12"/>
        <v>1</v>
      </c>
      <c r="I73" t="e">
        <f t="shared" ca="1" si="13"/>
        <v>#NUM!</v>
      </c>
      <c r="J73" t="e">
        <f t="shared" ca="1" si="14"/>
        <v>#NUM!</v>
      </c>
    </row>
    <row r="74" spans="6:10" x14ac:dyDescent="0.3">
      <c r="F74" s="2">
        <f t="shared" ca="1" si="10"/>
        <v>-11.774032770077563</v>
      </c>
      <c r="G74">
        <f t="shared" ca="1" si="11"/>
        <v>2.6561461029654392E-32</v>
      </c>
      <c r="H74">
        <f t="shared" ca="1" si="12"/>
        <v>1</v>
      </c>
      <c r="I74" t="e">
        <f t="shared" ca="1" si="13"/>
        <v>#NUM!</v>
      </c>
      <c r="J74" t="e">
        <f t="shared" ca="1" si="14"/>
        <v>#NUM!</v>
      </c>
    </row>
    <row r="75" spans="6:10" x14ac:dyDescent="0.3">
      <c r="F75" s="2">
        <f t="shared" ca="1" si="10"/>
        <v>-11.774032770077563</v>
      </c>
      <c r="G75">
        <f t="shared" ca="1" si="11"/>
        <v>2.6561461029654392E-32</v>
      </c>
      <c r="H75">
        <f t="shared" ca="1" si="12"/>
        <v>1</v>
      </c>
      <c r="I75" t="e">
        <f t="shared" ca="1" si="13"/>
        <v>#NUM!</v>
      </c>
      <c r="J75" t="e">
        <f t="shared" ca="1" si="14"/>
        <v>#NUM!</v>
      </c>
    </row>
    <row r="76" spans="6:10" x14ac:dyDescent="0.3">
      <c r="F76" s="2">
        <f t="shared" ca="1" si="10"/>
        <v>-11.774032770077563</v>
      </c>
      <c r="G76">
        <f t="shared" ca="1" si="11"/>
        <v>2.6561461029654392E-32</v>
      </c>
      <c r="H76">
        <f t="shared" ca="1" si="12"/>
        <v>1</v>
      </c>
      <c r="I76" t="e">
        <f t="shared" ca="1" si="13"/>
        <v>#NUM!</v>
      </c>
      <c r="J76" t="e">
        <f t="shared" ca="1" si="14"/>
        <v>#NUM!</v>
      </c>
    </row>
    <row r="77" spans="6:10" x14ac:dyDescent="0.3">
      <c r="F77" s="2">
        <f t="shared" ca="1" si="10"/>
        <v>-11.774032770077563</v>
      </c>
      <c r="G77">
        <f t="shared" ca="1" si="11"/>
        <v>2.6561461029654392E-32</v>
      </c>
      <c r="H77">
        <f t="shared" ca="1" si="12"/>
        <v>1</v>
      </c>
      <c r="I77" t="e">
        <f t="shared" ca="1" si="13"/>
        <v>#NUM!</v>
      </c>
      <c r="J77" t="e">
        <f t="shared" ca="1" si="14"/>
        <v>#NUM!</v>
      </c>
    </row>
    <row r="78" spans="6:10" x14ac:dyDescent="0.3">
      <c r="F78" s="2">
        <f t="shared" ca="1" si="10"/>
        <v>-11.774032770077563</v>
      </c>
      <c r="G78">
        <f t="shared" ca="1" si="11"/>
        <v>2.6561461029654392E-32</v>
      </c>
      <c r="H78">
        <f t="shared" ca="1" si="12"/>
        <v>1</v>
      </c>
      <c r="I78" t="e">
        <f t="shared" ca="1" si="13"/>
        <v>#NUM!</v>
      </c>
      <c r="J78" t="e">
        <f t="shared" ca="1" si="14"/>
        <v>#NUM!</v>
      </c>
    </row>
    <row r="79" spans="6:10" x14ac:dyDescent="0.3">
      <c r="F79" s="2">
        <f t="shared" ca="1" si="10"/>
        <v>-11.774032770077563</v>
      </c>
      <c r="G79">
        <f t="shared" ca="1" si="11"/>
        <v>2.6561461029654392E-32</v>
      </c>
      <c r="H79">
        <f t="shared" ca="1" si="12"/>
        <v>1</v>
      </c>
      <c r="I79" t="e">
        <f t="shared" ca="1" si="13"/>
        <v>#NUM!</v>
      </c>
      <c r="J79" t="e">
        <f t="shared" ca="1" si="14"/>
        <v>#NUM!</v>
      </c>
    </row>
    <row r="80" spans="6:10" x14ac:dyDescent="0.3">
      <c r="F80" s="2">
        <f t="shared" ca="1" si="10"/>
        <v>-11.774032770077563</v>
      </c>
      <c r="G80">
        <f t="shared" ca="1" si="11"/>
        <v>2.6561461029654392E-32</v>
      </c>
      <c r="H80">
        <f t="shared" ca="1" si="12"/>
        <v>1</v>
      </c>
      <c r="I80" t="e">
        <f t="shared" ca="1" si="13"/>
        <v>#NUM!</v>
      </c>
      <c r="J80" t="e">
        <f t="shared" ca="1" si="14"/>
        <v>#NUM!</v>
      </c>
    </row>
    <row r="81" spans="6:10" x14ac:dyDescent="0.3">
      <c r="F81" s="2">
        <f t="shared" ca="1" si="10"/>
        <v>-11.774032770077563</v>
      </c>
      <c r="G81">
        <f t="shared" ca="1" si="11"/>
        <v>2.6561461029654392E-32</v>
      </c>
      <c r="H81">
        <f t="shared" ca="1" si="12"/>
        <v>1</v>
      </c>
      <c r="I81" t="e">
        <f t="shared" ca="1" si="13"/>
        <v>#NUM!</v>
      </c>
      <c r="J81" t="e">
        <f t="shared" ca="1" si="14"/>
        <v>#NUM!</v>
      </c>
    </row>
    <row r="82" spans="6:10" x14ac:dyDescent="0.3">
      <c r="F82" s="2">
        <f t="shared" ca="1" si="10"/>
        <v>-11.774032770077563</v>
      </c>
      <c r="G82">
        <f t="shared" ca="1" si="11"/>
        <v>2.6561461029654392E-32</v>
      </c>
      <c r="H82">
        <f t="shared" ca="1" si="12"/>
        <v>1</v>
      </c>
      <c r="I82" t="e">
        <f t="shared" ca="1" si="13"/>
        <v>#NUM!</v>
      </c>
      <c r="J82" t="e">
        <f t="shared" ca="1" si="14"/>
        <v>#NUM!</v>
      </c>
    </row>
    <row r="83" spans="6:10" x14ac:dyDescent="0.3">
      <c r="F83" s="2">
        <f t="shared" ca="1" si="10"/>
        <v>-11.774032770077563</v>
      </c>
      <c r="G83">
        <f t="shared" ca="1" si="11"/>
        <v>2.6561461029654392E-32</v>
      </c>
      <c r="H83">
        <f t="shared" ca="1" si="12"/>
        <v>1</v>
      </c>
      <c r="I83" t="e">
        <f t="shared" ca="1" si="13"/>
        <v>#NUM!</v>
      </c>
      <c r="J83" t="e">
        <f t="shared" ca="1" si="14"/>
        <v>#NUM!</v>
      </c>
    </row>
    <row r="84" spans="6:10" x14ac:dyDescent="0.3">
      <c r="F84" s="2">
        <f t="shared" ca="1" si="10"/>
        <v>-11.774032770077563</v>
      </c>
      <c r="G84">
        <f t="shared" ca="1" si="11"/>
        <v>2.6561461029654392E-32</v>
      </c>
      <c r="H84">
        <f t="shared" ca="1" si="12"/>
        <v>1</v>
      </c>
      <c r="I84" t="e">
        <f t="shared" ca="1" si="13"/>
        <v>#NUM!</v>
      </c>
      <c r="J84" t="e">
        <f t="shared" ca="1" si="14"/>
        <v>#NUM!</v>
      </c>
    </row>
    <row r="85" spans="6:10" x14ac:dyDescent="0.3">
      <c r="F85" s="2">
        <f t="shared" ca="1" si="10"/>
        <v>-11.774032770077563</v>
      </c>
      <c r="G85">
        <f t="shared" ca="1" si="11"/>
        <v>2.6561461029654392E-32</v>
      </c>
      <c r="H85">
        <f t="shared" ca="1" si="12"/>
        <v>1</v>
      </c>
      <c r="I85" t="e">
        <f t="shared" ca="1" si="13"/>
        <v>#NUM!</v>
      </c>
      <c r="J85" t="e">
        <f t="shared" ca="1" si="14"/>
        <v>#NUM!</v>
      </c>
    </row>
    <row r="86" spans="6:10" x14ac:dyDescent="0.3">
      <c r="F86" s="2">
        <f t="shared" ca="1" si="10"/>
        <v>-11.774032770077563</v>
      </c>
      <c r="G86">
        <f t="shared" ca="1" si="11"/>
        <v>2.6561461029654392E-32</v>
      </c>
      <c r="H86">
        <f t="shared" ca="1" si="12"/>
        <v>1</v>
      </c>
      <c r="I86" t="e">
        <f t="shared" ca="1" si="13"/>
        <v>#NUM!</v>
      </c>
      <c r="J86" t="e">
        <f t="shared" ca="1" si="14"/>
        <v>#NUM!</v>
      </c>
    </row>
    <row r="87" spans="6:10" x14ac:dyDescent="0.3">
      <c r="F87" s="2">
        <f t="shared" ca="1" si="10"/>
        <v>-11.774032770077563</v>
      </c>
      <c r="G87">
        <f t="shared" ca="1" si="11"/>
        <v>2.6561461029654392E-32</v>
      </c>
      <c r="H87">
        <f t="shared" ca="1" si="12"/>
        <v>1</v>
      </c>
      <c r="I87" t="e">
        <f t="shared" ca="1" si="13"/>
        <v>#NUM!</v>
      </c>
      <c r="J87" t="e">
        <f t="shared" ca="1" si="14"/>
        <v>#NUM!</v>
      </c>
    </row>
    <row r="88" spans="6:10" x14ac:dyDescent="0.3">
      <c r="F88" s="2">
        <f t="shared" ca="1" si="10"/>
        <v>-11.774032770077563</v>
      </c>
      <c r="G88">
        <f t="shared" ca="1" si="11"/>
        <v>2.6561461029654392E-32</v>
      </c>
      <c r="H88">
        <f t="shared" ca="1" si="12"/>
        <v>1</v>
      </c>
      <c r="I88" t="e">
        <f t="shared" ca="1" si="13"/>
        <v>#NUM!</v>
      </c>
      <c r="J88" t="e">
        <f t="shared" ca="1" si="14"/>
        <v>#NUM!</v>
      </c>
    </row>
    <row r="89" spans="6:10" x14ac:dyDescent="0.3">
      <c r="F89" s="2">
        <f t="shared" ca="1" si="10"/>
        <v>-11.774032770077563</v>
      </c>
      <c r="G89">
        <f t="shared" ca="1" si="11"/>
        <v>2.6561461029654392E-32</v>
      </c>
      <c r="H89">
        <f t="shared" ca="1" si="12"/>
        <v>1</v>
      </c>
      <c r="I89" t="e">
        <f t="shared" ca="1" si="13"/>
        <v>#NUM!</v>
      </c>
      <c r="J89" t="e">
        <f t="shared" ca="1" si="14"/>
        <v>#NUM!</v>
      </c>
    </row>
    <row r="90" spans="6:10" x14ac:dyDescent="0.3">
      <c r="F90" s="2">
        <f t="shared" ca="1" si="10"/>
        <v>-11.774032770077563</v>
      </c>
      <c r="G90">
        <f t="shared" ca="1" si="11"/>
        <v>2.6561461029654392E-32</v>
      </c>
      <c r="H90">
        <f t="shared" ca="1" si="12"/>
        <v>1</v>
      </c>
      <c r="I90" t="e">
        <f t="shared" ca="1" si="13"/>
        <v>#NUM!</v>
      </c>
      <c r="J90" t="e">
        <f t="shared" ca="1" si="14"/>
        <v>#NUM!</v>
      </c>
    </row>
    <row r="91" spans="6:10" x14ac:dyDescent="0.3">
      <c r="F91" s="2">
        <f t="shared" ca="1" si="10"/>
        <v>-11.774032770077563</v>
      </c>
      <c r="G91">
        <f t="shared" ca="1" si="11"/>
        <v>2.6561461029654392E-32</v>
      </c>
      <c r="H91">
        <f t="shared" ca="1" si="12"/>
        <v>1</v>
      </c>
      <c r="I91" t="e">
        <f t="shared" ca="1" si="13"/>
        <v>#NUM!</v>
      </c>
      <c r="J91" t="e">
        <f t="shared" ca="1" si="14"/>
        <v>#NUM!</v>
      </c>
    </row>
    <row r="92" spans="6:10" x14ac:dyDescent="0.3">
      <c r="F92" s="2">
        <f t="shared" ca="1" si="10"/>
        <v>-11.774032770077563</v>
      </c>
      <c r="G92">
        <f t="shared" ca="1" si="11"/>
        <v>2.6561461029654392E-32</v>
      </c>
      <c r="H92">
        <f t="shared" ca="1" si="12"/>
        <v>1</v>
      </c>
      <c r="I92" t="e">
        <f t="shared" ca="1" si="13"/>
        <v>#NUM!</v>
      </c>
      <c r="J92" t="e">
        <f t="shared" ca="1" si="14"/>
        <v>#NUM!</v>
      </c>
    </row>
    <row r="93" spans="6:10" x14ac:dyDescent="0.3">
      <c r="F93" s="2">
        <f t="shared" ca="1" si="10"/>
        <v>-11.774032770077563</v>
      </c>
      <c r="G93">
        <f t="shared" ca="1" si="11"/>
        <v>2.6561461029654392E-32</v>
      </c>
      <c r="H93">
        <f t="shared" ca="1" si="12"/>
        <v>1</v>
      </c>
      <c r="I93" t="e">
        <f t="shared" ca="1" si="13"/>
        <v>#NUM!</v>
      </c>
      <c r="J93" t="e">
        <f t="shared" ca="1" si="14"/>
        <v>#NUM!</v>
      </c>
    </row>
    <row r="94" spans="6:10" x14ac:dyDescent="0.3">
      <c r="F94" s="2">
        <f t="shared" ca="1" si="10"/>
        <v>-11.774032770077563</v>
      </c>
      <c r="G94">
        <f t="shared" ca="1" si="11"/>
        <v>2.6561461029654392E-32</v>
      </c>
      <c r="H94">
        <f t="shared" ca="1" si="12"/>
        <v>1</v>
      </c>
      <c r="I94" t="e">
        <f t="shared" ca="1" si="13"/>
        <v>#NUM!</v>
      </c>
      <c r="J94" t="e">
        <f t="shared" ca="1" si="14"/>
        <v>#NUM!</v>
      </c>
    </row>
  </sheetData>
  <sheetProtection algorithmName="SHA-512" hashValue="3pFcKH3lk1gBrghFEY3lPcZMHhZseiBBuZk8qkc+yx5scuOMHRqDQO5T/1/PWFMWulAFAd/YyIGYZ3wYztQDNw==" saltValue="YfZceL90oUczr9ZQJQ7kvg==" spinCount="100000" sheet="1" objects="1" scenarios="1"/>
  <mergeCells count="2">
    <mergeCell ref="A1:B1"/>
    <mergeCell ref="E1:H1"/>
  </mergeCell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4FAEA-E3F1-46A7-AC91-11C27EB28A6D}">
  <sheetPr codeName="Hoja41"/>
  <dimension ref="A1:J40"/>
  <sheetViews>
    <sheetView workbookViewId="0">
      <selection activeCell="G36" sqref="G36"/>
    </sheetView>
  </sheetViews>
  <sheetFormatPr baseColWidth="10" defaultRowHeight="14.4" x14ac:dyDescent="0.3"/>
  <cols>
    <col min="1" max="1" width="17.44140625" style="4" bestFit="1" customWidth="1"/>
    <col min="2" max="16384" width="11.5546875" style="4"/>
  </cols>
  <sheetData>
    <row r="1" spans="1:2" x14ac:dyDescent="0.3">
      <c r="A1" s="4" t="s">
        <v>17</v>
      </c>
      <c r="B1" s="4">
        <v>45</v>
      </c>
    </row>
    <row r="2" spans="1:2" x14ac:dyDescent="0.3">
      <c r="A2" s="4" t="s">
        <v>18</v>
      </c>
      <c r="B2" s="4">
        <v>50</v>
      </c>
    </row>
    <row r="40" spans="9:10" x14ac:dyDescent="0.3">
      <c r="I40" t="s">
        <v>40</v>
      </c>
      <c r="J40" s="3">
        <f ca="1">+((1-Estadísticas!B2)/(3*Estadísticas!B5))</f>
        <v>2.1600938673785697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782EF-9CF9-4CAD-BB9B-B8FDC070ABF6}">
  <sheetPr codeName="Hoja1"/>
  <dimension ref="A17:K36"/>
  <sheetViews>
    <sheetView tabSelected="1" workbookViewId="0">
      <selection activeCell="R6" sqref="R6"/>
    </sheetView>
  </sheetViews>
  <sheetFormatPr baseColWidth="10" defaultRowHeight="14.4" x14ac:dyDescent="0.3"/>
  <cols>
    <col min="1" max="1" width="17.6640625" style="8" customWidth="1"/>
    <col min="2" max="16384" width="11.5546875" style="4"/>
  </cols>
  <sheetData>
    <row r="17" spans="8:8" x14ac:dyDescent="0.3">
      <c r="H17"/>
    </row>
    <row r="35" spans="7:11" ht="14.4" customHeight="1" x14ac:dyDescent="0.3">
      <c r="H35" s="11" t="str">
        <f ca="1">IF(AND(ROUND(Estadísticas!B2,2)=ROUND(Estadísticas!B3,2),ROUND(Estadísticas!B2,2)=ROUND(Estadísticas!B4,2)),"NORMAL","ASIMÉTRICA")</f>
        <v>ASIMÉTRICA</v>
      </c>
      <c r="I35" s="11"/>
      <c r="J35" s="11"/>
      <c r="K35" s="11"/>
    </row>
    <row r="36" spans="7:11" ht="14.4" customHeight="1" x14ac:dyDescent="0.3">
      <c r="G36" s="9"/>
      <c r="H36" s="11"/>
      <c r="I36" s="11"/>
      <c r="J36" s="11"/>
      <c r="K36" s="11"/>
    </row>
  </sheetData>
  <sheetProtection algorithmName="SHA-512" hashValue="aaBUYihz2YOX4dU7c7LWllom8XBTXl8qbozdpELelvIWIUe85skat8mv1qIxeCdCYPach9jsRIgQm/lpBUyEyA==" saltValue="AkN3D2bsXQmpfFWsVBGQAA==" spinCount="100000" sheet="1" objects="1" scenarios="1"/>
  <mergeCells count="1">
    <mergeCell ref="H35:K36"/>
  </mergeCells>
  <conditionalFormatting sqref="H35:K36">
    <cfRule type="containsText" dxfId="1" priority="2" operator="containsText" text="NORMAL">
      <formula>NOT(ISERROR(SEARCH("NORMAL",H35)))</formula>
    </cfRule>
    <cfRule type="containsText" dxfId="0" priority="1" operator="containsText" text="ASIMÉTRICA">
      <formula>NOT(ISERROR(SEARCH("ASIMÉTRICA",H35)))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ScrollBar1">
          <controlPr defaultSize="0" autoLine="0" linkedCell="'Gráficos de Control'!B1" r:id="rId4">
            <anchor moveWithCells="1">
              <from>
                <xdr:col>1</xdr:col>
                <xdr:colOff>419100</xdr:colOff>
                <xdr:row>33</xdr:row>
                <xdr:rowOff>114300</xdr:rowOff>
              </from>
              <to>
                <xdr:col>5</xdr:col>
                <xdr:colOff>68580</xdr:colOff>
                <xdr:row>35</xdr:row>
                <xdr:rowOff>137160</xdr:rowOff>
              </to>
            </anchor>
          </controlPr>
        </control>
      </mc:Choice>
      <mc:Fallback>
        <control shapeId="10241" r:id="rId3" name="ScrollBar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Datos</vt:lpstr>
      <vt:lpstr>Datos Distribucion</vt:lpstr>
      <vt:lpstr>Estadísticas</vt:lpstr>
      <vt:lpstr>Gráficos de Control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Gildardo Horacio</dc:creator>
  <cp:lastModifiedBy>Gildardo González</cp:lastModifiedBy>
  <dcterms:created xsi:type="dcterms:W3CDTF">2025-07-17T01:43:54Z</dcterms:created>
  <dcterms:modified xsi:type="dcterms:W3CDTF">2025-08-18T02:24:40Z</dcterms:modified>
</cp:coreProperties>
</file>